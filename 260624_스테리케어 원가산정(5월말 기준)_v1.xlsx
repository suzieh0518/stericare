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ziehong/Desktop/뚝딱/stericare/"/>
    </mc:Choice>
  </mc:AlternateContent>
  <xr:revisionPtr revIDLastSave="0" documentId="13_ncr:1_{BBAAFCA6-15B7-A741-ABA6-840423ABCE24}" xr6:coauthVersionLast="47" xr6:coauthVersionMax="47" xr10:uidLastSave="{00000000-0000-0000-0000-000000000000}"/>
  <bookViews>
    <workbookView xWindow="0" yWindow="720" windowWidth="29400" windowHeight="18400" tabRatio="563" xr2:uid="{B028F0EB-69D7-4535-B734-8F1074FC0267}"/>
  </bookViews>
  <sheets>
    <sheet name="26년 5월" sheetId="1" r:id="rId1"/>
    <sheet name="주요비율산정표(%)" sheetId="2" state="hidden" r:id="rId2"/>
    <sheet name="26년 3월(결산용)" sheetId="8" state="hidden" r:id="rId3"/>
    <sheet name="선급금(daily)" sheetId="7" r:id="rId4"/>
    <sheet name="월별원가(류)5월" sheetId="4" r:id="rId5"/>
    <sheet name="가운출고량(류)5월" sheetId="5" r:id="rId6"/>
    <sheet name="감가요약(25.12.31)" sheetId="10" r:id="rId7"/>
    <sheet name="감가상각 상세(25.12.31)" sheetId="9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3" hidden="1">'선급금(daily)'!$C$4:$J$4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5" i="1" l="1"/>
  <c r="R177" i="1"/>
  <c r="R176" i="1"/>
  <c r="AL117" i="1" l="1"/>
  <c r="AD117" i="1"/>
  <c r="V117" i="1"/>
  <c r="N117" i="1"/>
  <c r="AL144" i="1"/>
  <c r="AD144" i="1"/>
  <c r="V144" i="1"/>
  <c r="N144" i="1"/>
  <c r="AN117" i="1" l="1"/>
  <c r="AN144" i="1"/>
  <c r="R127" i="1" l="1"/>
  <c r="R146" i="1" s="1"/>
  <c r="N125" i="1"/>
  <c r="H126" i="1"/>
  <c r="J126" i="1"/>
  <c r="L126" i="1"/>
  <c r="N126" i="1" s="1"/>
  <c r="P126" i="1"/>
  <c r="R126" i="1"/>
  <c r="T126" i="1"/>
  <c r="X126" i="1"/>
  <c r="Z126" i="1"/>
  <c r="AB126" i="1"/>
  <c r="AF126" i="1"/>
  <c r="AH126" i="1"/>
  <c r="AJ126" i="1"/>
  <c r="R120" i="1"/>
  <c r="P85" i="1"/>
  <c r="P86" i="1" s="1"/>
  <c r="AJ86" i="1"/>
  <c r="AH86" i="1"/>
  <c r="AF86" i="1"/>
  <c r="AB86" i="1"/>
  <c r="Z86" i="1"/>
  <c r="X86" i="1"/>
  <c r="T86" i="1"/>
  <c r="R86" i="1"/>
  <c r="L86" i="1"/>
  <c r="J86" i="1"/>
  <c r="H86" i="1"/>
  <c r="AL85" i="1"/>
  <c r="AD85" i="1"/>
  <c r="N85" i="1"/>
  <c r="AL126" i="1" l="1"/>
  <c r="AN126" i="1"/>
  <c r="V85" i="1"/>
  <c r="AN85" i="1" s="1"/>
  <c r="D87" i="7" l="1"/>
  <c r="D93" i="7"/>
  <c r="D92" i="7"/>
  <c r="D91" i="7"/>
  <c r="D84" i="7"/>
  <c r="G13" i="10" l="1"/>
  <c r="F13" i="10"/>
  <c r="E13" i="10"/>
  <c r="H13" i="10" s="1"/>
  <c r="D13" i="10"/>
  <c r="G12" i="10"/>
  <c r="F12" i="10"/>
  <c r="E12" i="10"/>
  <c r="D12" i="10"/>
  <c r="G11" i="10"/>
  <c r="F11" i="10"/>
  <c r="E11" i="10"/>
  <c r="H11" i="10" s="1"/>
  <c r="D11" i="10"/>
  <c r="G9" i="10"/>
  <c r="F9" i="10"/>
  <c r="E9" i="10"/>
  <c r="H9" i="10" s="1"/>
  <c r="D9" i="10"/>
  <c r="H8" i="10"/>
  <c r="G8" i="10"/>
  <c r="F8" i="10"/>
  <c r="E8" i="10"/>
  <c r="D8" i="10"/>
  <c r="G7" i="10"/>
  <c r="F7" i="10"/>
  <c r="E7" i="10"/>
  <c r="H7" i="10" s="1"/>
  <c r="D7" i="10"/>
  <c r="G6" i="10"/>
  <c r="F6" i="10"/>
  <c r="E6" i="10"/>
  <c r="H6" i="10" s="1"/>
  <c r="D6" i="10"/>
  <c r="G5" i="10"/>
  <c r="G10" i="10" s="1"/>
  <c r="F5" i="10"/>
  <c r="F10" i="10" s="1"/>
  <c r="E5" i="10"/>
  <c r="E10" i="10" s="1"/>
  <c r="D5" i="10"/>
  <c r="D10" i="10" s="1"/>
  <c r="K165" i="9"/>
  <c r="K166" i="9" s="1"/>
  <c r="J165" i="9"/>
  <c r="J166" i="9" s="1"/>
  <c r="I165" i="9"/>
  <c r="I166" i="9" s="1"/>
  <c r="H165" i="9"/>
  <c r="H166" i="9" s="1"/>
  <c r="G165" i="9"/>
  <c r="G166" i="9" s="1"/>
  <c r="R164" i="9"/>
  <c r="R165" i="9" s="1"/>
  <c r="R166" i="9" s="1"/>
  <c r="Q164" i="9"/>
  <c r="Q165" i="9" s="1"/>
  <c r="Q166" i="9" s="1"/>
  <c r="P164" i="9"/>
  <c r="P165" i="9" s="1"/>
  <c r="P166" i="9" s="1"/>
  <c r="O164" i="9"/>
  <c r="O165" i="9" s="1"/>
  <c r="O166" i="9" s="1"/>
  <c r="K164" i="9"/>
  <c r="J164" i="9"/>
  <c r="I164" i="9"/>
  <c r="H164" i="9"/>
  <c r="G164" i="9"/>
  <c r="R159" i="9"/>
  <c r="Q159" i="9"/>
  <c r="P159" i="9"/>
  <c r="O159" i="9"/>
  <c r="K159" i="9"/>
  <c r="J159" i="9"/>
  <c r="R158" i="9"/>
  <c r="Q158" i="9"/>
  <c r="P158" i="9"/>
  <c r="O158" i="9"/>
  <c r="K158" i="9"/>
  <c r="J158" i="9"/>
  <c r="I158" i="9"/>
  <c r="I159" i="9" s="1"/>
  <c r="H158" i="9"/>
  <c r="H159" i="9" s="1"/>
  <c r="G158" i="9"/>
  <c r="G159" i="9" s="1"/>
  <c r="Q154" i="9"/>
  <c r="P154" i="9"/>
  <c r="O154" i="9"/>
  <c r="K154" i="9"/>
  <c r="J154" i="9"/>
  <c r="I154" i="9"/>
  <c r="H154" i="9"/>
  <c r="R153" i="9"/>
  <c r="Q153" i="9"/>
  <c r="P153" i="9"/>
  <c r="O153" i="9"/>
  <c r="K153" i="9"/>
  <c r="J153" i="9"/>
  <c r="I153" i="9"/>
  <c r="H153" i="9"/>
  <c r="G153" i="9"/>
  <c r="R150" i="9"/>
  <c r="Q150" i="9"/>
  <c r="P150" i="9"/>
  <c r="O150" i="9"/>
  <c r="K150" i="9"/>
  <c r="J150" i="9"/>
  <c r="I150" i="9"/>
  <c r="H150" i="9"/>
  <c r="G150" i="9"/>
  <c r="R148" i="9"/>
  <c r="R154" i="9" s="1"/>
  <c r="Q148" i="9"/>
  <c r="P148" i="9"/>
  <c r="O148" i="9"/>
  <c r="K148" i="9"/>
  <c r="J148" i="9"/>
  <c r="I148" i="9"/>
  <c r="H148" i="9"/>
  <c r="G148" i="9"/>
  <c r="G154" i="9" s="1"/>
  <c r="O124" i="9"/>
  <c r="O160" i="9" s="1"/>
  <c r="K124" i="9"/>
  <c r="K160" i="9" s="1"/>
  <c r="K167" i="9" s="1"/>
  <c r="J124" i="9"/>
  <c r="J160" i="9" s="1"/>
  <c r="J167" i="9" s="1"/>
  <c r="I124" i="9"/>
  <c r="I160" i="9" s="1"/>
  <c r="I167" i="9" s="1"/>
  <c r="H124" i="9"/>
  <c r="H160" i="9" s="1"/>
  <c r="H167" i="9" s="1"/>
  <c r="G124" i="9"/>
  <c r="G160" i="9" s="1"/>
  <c r="G167" i="9" s="1"/>
  <c r="R123" i="9"/>
  <c r="R124" i="9" s="1"/>
  <c r="Q123" i="9"/>
  <c r="Q124" i="9" s="1"/>
  <c r="Q160" i="9" s="1"/>
  <c r="Q167" i="9" s="1"/>
  <c r="P123" i="9"/>
  <c r="P124" i="9" s="1"/>
  <c r="P160" i="9" s="1"/>
  <c r="P167" i="9" s="1"/>
  <c r="O123" i="9"/>
  <c r="K123" i="9"/>
  <c r="J123" i="9"/>
  <c r="I123" i="9"/>
  <c r="H123" i="9"/>
  <c r="G123" i="9"/>
  <c r="R120" i="9"/>
  <c r="Q120" i="9"/>
  <c r="P120" i="9"/>
  <c r="O120" i="9"/>
  <c r="K120" i="9"/>
  <c r="J120" i="9"/>
  <c r="I120" i="9"/>
  <c r="H120" i="9"/>
  <c r="G120" i="9"/>
  <c r="R109" i="9"/>
  <c r="Q109" i="9"/>
  <c r="P109" i="9"/>
  <c r="O109" i="9"/>
  <c r="K109" i="9"/>
  <c r="J109" i="9"/>
  <c r="I109" i="9"/>
  <c r="R108" i="9"/>
  <c r="Q108" i="9"/>
  <c r="P108" i="9"/>
  <c r="O108" i="9"/>
  <c r="K108" i="9"/>
  <c r="J108" i="9"/>
  <c r="I108" i="9"/>
  <c r="H108" i="9"/>
  <c r="H109" i="9" s="1"/>
  <c r="G108" i="9"/>
  <c r="G109" i="9" s="1"/>
  <c r="R105" i="9"/>
  <c r="Q105" i="9"/>
  <c r="P105" i="9"/>
  <c r="O105" i="9"/>
  <c r="K105" i="9"/>
  <c r="J105" i="9"/>
  <c r="I105" i="9"/>
  <c r="H105" i="9"/>
  <c r="G105" i="9"/>
  <c r="R104" i="9"/>
  <c r="Q104" i="9"/>
  <c r="P104" i="9"/>
  <c r="O104" i="9"/>
  <c r="K104" i="9"/>
  <c r="J104" i="9"/>
  <c r="I104" i="9"/>
  <c r="H104" i="9"/>
  <c r="G104" i="9"/>
  <c r="P100" i="9"/>
  <c r="P110" i="9" s="1"/>
  <c r="O100" i="9"/>
  <c r="O110" i="9" s="1"/>
  <c r="K100" i="9"/>
  <c r="K110" i="9" s="1"/>
  <c r="J100" i="9"/>
  <c r="J110" i="9" s="1"/>
  <c r="I100" i="9"/>
  <c r="I110" i="9" s="1"/>
  <c r="H100" i="9"/>
  <c r="H110" i="9" s="1"/>
  <c r="G100" i="9"/>
  <c r="G110" i="9" s="1"/>
  <c r="R99" i="9"/>
  <c r="R100" i="9" s="1"/>
  <c r="R110" i="9" s="1"/>
  <c r="Q99" i="9"/>
  <c r="Q100" i="9" s="1"/>
  <c r="Q110" i="9" s="1"/>
  <c r="P99" i="9"/>
  <c r="O99" i="9"/>
  <c r="K99" i="9"/>
  <c r="J99" i="9"/>
  <c r="I99" i="9"/>
  <c r="H99" i="9"/>
  <c r="G99" i="9"/>
  <c r="R87" i="9"/>
  <c r="Q87" i="9"/>
  <c r="P87" i="9"/>
  <c r="O87" i="9"/>
  <c r="K87" i="9"/>
  <c r="J87" i="9"/>
  <c r="I87" i="9"/>
  <c r="H87" i="9"/>
  <c r="G87" i="9"/>
  <c r="G83" i="9"/>
  <c r="R82" i="9"/>
  <c r="Q82" i="9"/>
  <c r="P82" i="9"/>
  <c r="O82" i="9"/>
  <c r="K82" i="9"/>
  <c r="J82" i="9"/>
  <c r="I82" i="9"/>
  <c r="H82" i="9"/>
  <c r="G82" i="9"/>
  <c r="R73" i="9"/>
  <c r="Q73" i="9"/>
  <c r="P73" i="9"/>
  <c r="O73" i="9"/>
  <c r="K73" i="9"/>
  <c r="J73" i="9"/>
  <c r="I73" i="9"/>
  <c r="H73" i="9"/>
  <c r="G73" i="9"/>
  <c r="R66" i="9"/>
  <c r="R83" i="9" s="1"/>
  <c r="Q66" i="9"/>
  <c r="Q83" i="9" s="1"/>
  <c r="P66" i="9"/>
  <c r="P83" i="9" s="1"/>
  <c r="O66" i="9"/>
  <c r="O83" i="9" s="1"/>
  <c r="K66" i="9"/>
  <c r="K83" i="9" s="1"/>
  <c r="J66" i="9"/>
  <c r="J83" i="9" s="1"/>
  <c r="I66" i="9"/>
  <c r="I83" i="9" s="1"/>
  <c r="H66" i="9"/>
  <c r="H83" i="9" s="1"/>
  <c r="G66" i="9"/>
  <c r="R61" i="9"/>
  <c r="Q61" i="9"/>
  <c r="P61" i="9"/>
  <c r="O61" i="9"/>
  <c r="K61" i="9"/>
  <c r="J61" i="9"/>
  <c r="I61" i="9"/>
  <c r="H61" i="9"/>
  <c r="G61" i="9"/>
  <c r="R58" i="9"/>
  <c r="Q58" i="9"/>
  <c r="P58" i="9"/>
  <c r="O58" i="9"/>
  <c r="K58" i="9"/>
  <c r="J58" i="9"/>
  <c r="I58" i="9"/>
  <c r="H58" i="9"/>
  <c r="G58" i="9"/>
  <c r="R56" i="9"/>
  <c r="R62" i="9" s="1"/>
  <c r="Q56" i="9"/>
  <c r="Q62" i="9" s="1"/>
  <c r="P56" i="9"/>
  <c r="P62" i="9" s="1"/>
  <c r="O56" i="9"/>
  <c r="O62" i="9" s="1"/>
  <c r="K56" i="9"/>
  <c r="K62" i="9" s="1"/>
  <c r="J56" i="9"/>
  <c r="J62" i="9" s="1"/>
  <c r="I56" i="9"/>
  <c r="I62" i="9" s="1"/>
  <c r="H56" i="9"/>
  <c r="H62" i="9" s="1"/>
  <c r="G56" i="9"/>
  <c r="G62" i="9" s="1"/>
  <c r="R42" i="9"/>
  <c r="Q42" i="9"/>
  <c r="P42" i="9"/>
  <c r="R41" i="9"/>
  <c r="Q41" i="9"/>
  <c r="P41" i="9"/>
  <c r="O41" i="9"/>
  <c r="K41" i="9"/>
  <c r="J41" i="9"/>
  <c r="I41" i="9"/>
  <c r="H41" i="9"/>
  <c r="G41" i="9"/>
  <c r="R38" i="9"/>
  <c r="Q38" i="9"/>
  <c r="P38" i="9"/>
  <c r="O38" i="9"/>
  <c r="K38" i="9"/>
  <c r="J38" i="9"/>
  <c r="I38" i="9"/>
  <c r="H38" i="9"/>
  <c r="G38" i="9"/>
  <c r="R32" i="9"/>
  <c r="Q32" i="9"/>
  <c r="P32" i="9"/>
  <c r="O32" i="9"/>
  <c r="O42" i="9" s="1"/>
  <c r="K32" i="9"/>
  <c r="K42" i="9" s="1"/>
  <c r="J32" i="9"/>
  <c r="J42" i="9" s="1"/>
  <c r="I32" i="9"/>
  <c r="I42" i="9" s="1"/>
  <c r="H32" i="9"/>
  <c r="H42" i="9" s="1"/>
  <c r="G32" i="9"/>
  <c r="G42" i="9" s="1"/>
  <c r="R21" i="9"/>
  <c r="Q21" i="9"/>
  <c r="P21" i="9"/>
  <c r="O21" i="9"/>
  <c r="K21" i="9"/>
  <c r="J21" i="9"/>
  <c r="I21" i="9"/>
  <c r="H21" i="9"/>
  <c r="G21" i="9"/>
  <c r="R18" i="9"/>
  <c r="Q18" i="9"/>
  <c r="Q19" i="9" s="1"/>
  <c r="P18" i="9"/>
  <c r="P19" i="9" s="1"/>
  <c r="O18" i="9"/>
  <c r="O19" i="9" s="1"/>
  <c r="K18" i="9"/>
  <c r="K19" i="9" s="1"/>
  <c r="J18" i="9"/>
  <c r="J19" i="9" s="1"/>
  <c r="I18" i="9"/>
  <c r="I19" i="9" s="1"/>
  <c r="H18" i="9"/>
  <c r="H19" i="9" s="1"/>
  <c r="G18" i="9"/>
  <c r="G19" i="9" s="1"/>
  <c r="R11" i="9"/>
  <c r="R19" i="9" s="1"/>
  <c r="Q11" i="9"/>
  <c r="P11" i="9"/>
  <c r="O11" i="9"/>
  <c r="K11" i="9"/>
  <c r="J11" i="9"/>
  <c r="I11" i="9"/>
  <c r="H11" i="9"/>
  <c r="G11" i="9"/>
  <c r="E14" i="10" l="1"/>
  <c r="E15" i="10" s="1"/>
  <c r="H15" i="10" s="1"/>
  <c r="D14" i="10"/>
  <c r="D15" i="10" s="1"/>
  <c r="G14" i="10"/>
  <c r="G15" i="10" s="1"/>
  <c r="F14" i="10"/>
  <c r="F15" i="10" s="1"/>
  <c r="H5" i="10"/>
  <c r="H10" i="10" s="1"/>
  <c r="I10" i="10" s="1"/>
  <c r="H12" i="10"/>
  <c r="H14" i="10" s="1"/>
  <c r="I14" i="10" s="1"/>
  <c r="G84" i="9"/>
  <c r="G111" i="9" s="1"/>
  <c r="G168" i="9" s="1"/>
  <c r="H84" i="9"/>
  <c r="H111" i="9" s="1"/>
  <c r="H168" i="9" s="1"/>
  <c r="K84" i="9"/>
  <c r="K111" i="9" s="1"/>
  <c r="K168" i="9" s="1"/>
  <c r="O84" i="9"/>
  <c r="O111" i="9" s="1"/>
  <c r="Q84" i="9"/>
  <c r="Q111" i="9" s="1"/>
  <c r="Q168" i="9" s="1"/>
  <c r="R84" i="9"/>
  <c r="R111" i="9" s="1"/>
  <c r="R168" i="9" s="1"/>
  <c r="R160" i="9"/>
  <c r="R167" i="9" s="1"/>
  <c r="I84" i="9"/>
  <c r="I111" i="9" s="1"/>
  <c r="I168" i="9" s="1"/>
  <c r="J84" i="9"/>
  <c r="J111" i="9" s="1"/>
  <c r="J168" i="9" s="1"/>
  <c r="O167" i="9"/>
  <c r="P84" i="9"/>
  <c r="P111" i="9" s="1"/>
  <c r="P168" i="9" s="1"/>
  <c r="O168" i="9" l="1"/>
  <c r="P78" i="1" l="1"/>
  <c r="AJ78" i="1"/>
  <c r="AH78" i="1"/>
  <c r="AF78" i="1"/>
  <c r="AB78" i="1"/>
  <c r="Z78" i="1"/>
  <c r="X78" i="1"/>
  <c r="T78" i="1"/>
  <c r="R78" i="1"/>
  <c r="H78" i="1"/>
  <c r="J78" i="1"/>
  <c r="L78" i="1"/>
  <c r="AL75" i="1"/>
  <c r="AD75" i="1"/>
  <c r="V75" i="1"/>
  <c r="N75" i="1"/>
  <c r="AL76" i="1"/>
  <c r="AD76" i="1"/>
  <c r="V76" i="1"/>
  <c r="N76" i="1"/>
  <c r="AN76" i="1" l="1"/>
  <c r="AN75" i="1"/>
  <c r="AL52" i="1" l="1"/>
  <c r="AD52" i="1"/>
  <c r="V52" i="1"/>
  <c r="N52" i="1"/>
  <c r="AN52" i="1" l="1"/>
  <c r="R4" i="1" l="1"/>
  <c r="AJ12" i="5"/>
  <c r="AL150" i="1"/>
  <c r="AL151" i="1"/>
  <c r="AL143" i="1"/>
  <c r="AD143" i="1"/>
  <c r="AD150" i="1"/>
  <c r="AD151" i="1"/>
  <c r="AL47" i="1"/>
  <c r="AL48" i="1"/>
  <c r="V47" i="1"/>
  <c r="V48" i="1"/>
  <c r="AD47" i="1"/>
  <c r="AD48" i="1"/>
  <c r="N47" i="1"/>
  <c r="N48" i="1"/>
  <c r="D67" i="7"/>
  <c r="D62" i="7"/>
  <c r="AN48" i="1" l="1"/>
  <c r="AN47" i="1"/>
  <c r="P173" i="1"/>
  <c r="L163" i="1"/>
  <c r="L173" i="1" s="1"/>
  <c r="N87" i="1"/>
  <c r="N88" i="1"/>
  <c r="N89" i="1"/>
  <c r="AI22" i="5"/>
  <c r="AI12" i="5"/>
  <c r="P177" i="1" l="1"/>
  <c r="AJ173" i="1"/>
  <c r="AH173" i="1"/>
  <c r="AF173" i="1"/>
  <c r="AB173" i="1"/>
  <c r="Z173" i="1"/>
  <c r="X173" i="1"/>
  <c r="T173" i="1"/>
  <c r="R173" i="1"/>
  <c r="J173" i="1"/>
  <c r="H173" i="1"/>
  <c r="AJ213" i="1"/>
  <c r="AH213" i="1"/>
  <c r="AF213" i="1"/>
  <c r="AB213" i="1"/>
  <c r="Z213" i="1"/>
  <c r="X213" i="1"/>
  <c r="T213" i="1"/>
  <c r="R213" i="1"/>
  <c r="P213" i="1"/>
  <c r="L213" i="1"/>
  <c r="H213" i="1"/>
  <c r="AJ228" i="1"/>
  <c r="AH228" i="1"/>
  <c r="AF228" i="1"/>
  <c r="AB228" i="1"/>
  <c r="Z228" i="1"/>
  <c r="X228" i="1"/>
  <c r="T228" i="1"/>
  <c r="R228" i="1"/>
  <c r="P228" i="1"/>
  <c r="L228" i="1"/>
  <c r="J228" i="1"/>
  <c r="H228" i="1"/>
  <c r="AL228" i="1" l="1"/>
  <c r="AD228" i="1"/>
  <c r="V228" i="1"/>
  <c r="N173" i="1"/>
  <c r="AL213" i="1"/>
  <c r="N228" i="1"/>
  <c r="AN228" i="1" s="1"/>
  <c r="P151" i="1"/>
  <c r="V151" i="1" s="1"/>
  <c r="N151" i="1"/>
  <c r="V143" i="1"/>
  <c r="N143" i="1"/>
  <c r="AL142" i="1"/>
  <c r="AD142" i="1"/>
  <c r="V142" i="1"/>
  <c r="N142" i="1"/>
  <c r="AL171" i="1"/>
  <c r="AD171" i="1"/>
  <c r="V171" i="1"/>
  <c r="N171" i="1"/>
  <c r="N123" i="1"/>
  <c r="V123" i="1"/>
  <c r="AD123" i="1"/>
  <c r="AL123" i="1"/>
  <c r="H124" i="1"/>
  <c r="J124" i="1"/>
  <c r="L124" i="1"/>
  <c r="P124" i="1"/>
  <c r="R124" i="1"/>
  <c r="T124" i="1"/>
  <c r="X124" i="1"/>
  <c r="Z124" i="1"/>
  <c r="AB124" i="1"/>
  <c r="AF124" i="1"/>
  <c r="AH124" i="1"/>
  <c r="AJ124" i="1"/>
  <c r="AL124" i="1" l="1"/>
  <c r="AN151" i="1"/>
  <c r="AN143" i="1"/>
  <c r="AN142" i="1"/>
  <c r="V124" i="1"/>
  <c r="AD124" i="1"/>
  <c r="AN171" i="1"/>
  <c r="N124" i="1"/>
  <c r="AN123" i="1"/>
  <c r="AN124" i="1" l="1"/>
  <c r="P82" i="1"/>
  <c r="J62" i="1" l="1"/>
  <c r="AL43" i="1" l="1"/>
  <c r="AL44" i="1"/>
  <c r="AL45" i="1"/>
  <c r="AL49" i="1"/>
  <c r="AL50" i="1"/>
  <c r="AL51" i="1"/>
  <c r="AL46" i="1"/>
  <c r="AD44" i="1"/>
  <c r="AD45" i="1"/>
  <c r="AD49" i="1"/>
  <c r="AD50" i="1"/>
  <c r="AD51" i="1"/>
  <c r="AD46" i="1"/>
  <c r="V46" i="1"/>
  <c r="N46" i="1"/>
  <c r="V51" i="1"/>
  <c r="H54" i="1"/>
  <c r="V45" i="1"/>
  <c r="D83" i="7"/>
  <c r="D82" i="7"/>
  <c r="D81" i="7"/>
  <c r="D79" i="7"/>
  <c r="D76" i="7"/>
  <c r="D74" i="7"/>
  <c r="D69" i="7"/>
  <c r="AN46" i="1" l="1"/>
  <c r="AL30" i="1"/>
  <c r="AD30" i="1"/>
  <c r="V30" i="1"/>
  <c r="N30" i="1"/>
  <c r="P49" i="1"/>
  <c r="P54" i="1" s="1"/>
  <c r="AN30" i="1" l="1"/>
  <c r="V212" i="1" l="1"/>
  <c r="V211" i="1"/>
  <c r="V210" i="1"/>
  <c r="V209" i="1"/>
  <c r="V208" i="1"/>
  <c r="V207" i="1"/>
  <c r="V206" i="1"/>
  <c r="V205" i="1"/>
  <c r="V204" i="1"/>
  <c r="N212" i="1"/>
  <c r="N211" i="1"/>
  <c r="N210" i="1"/>
  <c r="N209" i="1"/>
  <c r="N208" i="1"/>
  <c r="N207" i="1"/>
  <c r="N206" i="1"/>
  <c r="N204" i="1"/>
  <c r="AD212" i="1"/>
  <c r="AD211" i="1"/>
  <c r="AD210" i="1"/>
  <c r="AD209" i="1"/>
  <c r="AD208" i="1"/>
  <c r="AD207" i="1"/>
  <c r="AD206" i="1"/>
  <c r="AD205" i="1"/>
  <c r="AD204" i="1"/>
  <c r="AL212" i="1"/>
  <c r="AL211" i="1"/>
  <c r="AL210" i="1"/>
  <c r="AL209" i="1"/>
  <c r="AL208" i="1"/>
  <c r="AL207" i="1"/>
  <c r="AL206" i="1"/>
  <c r="AL205" i="1"/>
  <c r="AL204" i="1"/>
  <c r="AL227" i="1"/>
  <c r="AL226" i="1"/>
  <c r="AL225" i="1"/>
  <c r="AL224" i="1"/>
  <c r="AL223" i="1"/>
  <c r="AL222" i="1"/>
  <c r="AL221" i="1"/>
  <c r="AL220" i="1"/>
  <c r="AL219" i="1"/>
  <c r="AL218" i="1"/>
  <c r="AL217" i="1"/>
  <c r="AD227" i="1"/>
  <c r="AD226" i="1"/>
  <c r="AD225" i="1"/>
  <c r="AD224" i="1"/>
  <c r="AD223" i="1"/>
  <c r="AD222" i="1"/>
  <c r="AD221" i="1"/>
  <c r="AD220" i="1"/>
  <c r="AD219" i="1"/>
  <c r="AD218" i="1"/>
  <c r="AD217" i="1"/>
  <c r="V227" i="1"/>
  <c r="V226" i="1"/>
  <c r="V225" i="1"/>
  <c r="V224" i="1"/>
  <c r="V223" i="1"/>
  <c r="V222" i="1"/>
  <c r="V221" i="1"/>
  <c r="V220" i="1"/>
  <c r="V219" i="1"/>
  <c r="V218" i="1"/>
  <c r="V217" i="1"/>
  <c r="N227" i="1"/>
  <c r="N225" i="1"/>
  <c r="N224" i="1"/>
  <c r="N223" i="1"/>
  <c r="N222" i="1"/>
  <c r="N221" i="1"/>
  <c r="N220" i="1"/>
  <c r="N219" i="1"/>
  <c r="N218" i="1"/>
  <c r="N217" i="1"/>
  <c r="N226" i="1"/>
  <c r="J119" i="1"/>
  <c r="AJ68" i="1"/>
  <c r="AH68" i="1"/>
  <c r="AF68" i="1"/>
  <c r="AB68" i="1"/>
  <c r="Z68" i="1"/>
  <c r="X68" i="1"/>
  <c r="T68" i="1"/>
  <c r="R68" i="1"/>
  <c r="P68" i="1"/>
  <c r="L68" i="1"/>
  <c r="J68" i="1"/>
  <c r="H68" i="1"/>
  <c r="H119" i="1"/>
  <c r="AJ108" i="1"/>
  <c r="AH108" i="1"/>
  <c r="AF108" i="1"/>
  <c r="AB108" i="1"/>
  <c r="Z108" i="1"/>
  <c r="X108" i="1"/>
  <c r="T108" i="1"/>
  <c r="R108" i="1"/>
  <c r="P108" i="1"/>
  <c r="L108" i="1"/>
  <c r="J108" i="1"/>
  <c r="AJ103" i="1"/>
  <c r="AH103" i="1"/>
  <c r="AF103" i="1"/>
  <c r="AB103" i="1"/>
  <c r="Z103" i="1"/>
  <c r="X103" i="1"/>
  <c r="T103" i="1"/>
  <c r="R103" i="1"/>
  <c r="P103" i="1"/>
  <c r="L103" i="1"/>
  <c r="J103" i="1"/>
  <c r="H103" i="1"/>
  <c r="H108" i="1"/>
  <c r="AN220" i="1" l="1"/>
  <c r="AL68" i="1"/>
  <c r="V68" i="1"/>
  <c r="N68" i="1"/>
  <c r="AN225" i="1"/>
  <c r="AD68" i="1"/>
  <c r="AN226" i="1"/>
  <c r="AJ119" i="1"/>
  <c r="AH119" i="1"/>
  <c r="AF119" i="1"/>
  <c r="AB119" i="1"/>
  <c r="Z119" i="1"/>
  <c r="X119" i="1"/>
  <c r="T119" i="1"/>
  <c r="R119" i="1"/>
  <c r="P119" i="1"/>
  <c r="L119" i="1"/>
  <c r="N108" i="1"/>
  <c r="AL108" i="1"/>
  <c r="V108" i="1"/>
  <c r="AN68" i="1" l="1"/>
  <c r="AD108" i="1"/>
  <c r="AN108" i="1" s="1"/>
  <c r="V114" i="1" l="1"/>
  <c r="V115" i="1"/>
  <c r="V116" i="1"/>
  <c r="V118" i="1"/>
  <c r="AL139" i="1"/>
  <c r="AL140" i="1"/>
  <c r="AL141" i="1"/>
  <c r="AD139" i="1"/>
  <c r="AD140" i="1"/>
  <c r="AD141" i="1"/>
  <c r="V139" i="1"/>
  <c r="V140" i="1"/>
  <c r="V141" i="1"/>
  <c r="H178" i="8"/>
  <c r="AD114" i="1"/>
  <c r="AD115" i="1"/>
  <c r="AD116" i="1"/>
  <c r="AD118" i="1"/>
  <c r="AL114" i="1"/>
  <c r="AL115" i="1"/>
  <c r="AL116" i="1"/>
  <c r="AL118" i="1"/>
  <c r="N118" i="1"/>
  <c r="AN118" i="1" l="1"/>
  <c r="N119" i="1"/>
  <c r="AJ59" i="1" l="1"/>
  <c r="AH59" i="1"/>
  <c r="AF59" i="1"/>
  <c r="AB59" i="1"/>
  <c r="Z59" i="1"/>
  <c r="X59" i="1"/>
  <c r="T59" i="1"/>
  <c r="R59" i="1"/>
  <c r="P59" i="1"/>
  <c r="L59" i="1"/>
  <c r="AL217" i="8"/>
  <c r="AD217" i="8"/>
  <c r="V217" i="8"/>
  <c r="N217" i="8"/>
  <c r="AN217" i="8" s="1"/>
  <c r="AN216" i="8"/>
  <c r="AL216" i="8"/>
  <c r="AD216" i="8"/>
  <c r="V216" i="8"/>
  <c r="N216" i="8"/>
  <c r="AL215" i="8"/>
  <c r="AD215" i="8"/>
  <c r="V215" i="8"/>
  <c r="N215" i="8"/>
  <c r="AL214" i="8"/>
  <c r="AD214" i="8"/>
  <c r="V214" i="8"/>
  <c r="AN214" i="8" s="1"/>
  <c r="N214" i="8"/>
  <c r="AL213" i="8"/>
  <c r="AD213" i="8"/>
  <c r="V213" i="8"/>
  <c r="N213" i="8"/>
  <c r="AL212" i="8"/>
  <c r="AN212" i="8" s="1"/>
  <c r="AD212" i="8"/>
  <c r="V212" i="8"/>
  <c r="N212" i="8"/>
  <c r="AL211" i="8"/>
  <c r="AD211" i="8"/>
  <c r="V211" i="8"/>
  <c r="N211" i="8"/>
  <c r="AL210" i="8"/>
  <c r="AD210" i="8"/>
  <c r="V210" i="8"/>
  <c r="N210" i="8"/>
  <c r="AL209" i="8"/>
  <c r="AD209" i="8"/>
  <c r="V209" i="8"/>
  <c r="N209" i="8"/>
  <c r="AN209" i="8" s="1"/>
  <c r="AL208" i="8"/>
  <c r="AN208" i="8" s="1"/>
  <c r="AD208" i="8"/>
  <c r="V208" i="8"/>
  <c r="N208" i="8"/>
  <c r="AL207" i="8"/>
  <c r="AD207" i="8"/>
  <c r="V207" i="8"/>
  <c r="N207" i="8"/>
  <c r="AJ203" i="8"/>
  <c r="AH203" i="8"/>
  <c r="AL203" i="8" s="1"/>
  <c r="AF203" i="8"/>
  <c r="AB203" i="8"/>
  <c r="Z203" i="8"/>
  <c r="X203" i="8"/>
  <c r="AD203" i="8" s="1"/>
  <c r="T203" i="8"/>
  <c r="R203" i="8"/>
  <c r="P203" i="8"/>
  <c r="L203" i="8"/>
  <c r="H203" i="8"/>
  <c r="N203" i="8" s="1"/>
  <c r="AN202" i="8"/>
  <c r="AL202" i="8"/>
  <c r="AD202" i="8"/>
  <c r="V202" i="8"/>
  <c r="N202" i="8"/>
  <c r="AL201" i="8"/>
  <c r="AD201" i="8"/>
  <c r="V201" i="8"/>
  <c r="N201" i="8"/>
  <c r="AN201" i="8" s="1"/>
  <c r="AL200" i="8"/>
  <c r="AD200" i="8"/>
  <c r="V200" i="8"/>
  <c r="N200" i="8"/>
  <c r="AN200" i="8" s="1"/>
  <c r="AL199" i="8"/>
  <c r="AD199" i="8"/>
  <c r="V199" i="8"/>
  <c r="N199" i="8"/>
  <c r="AN199" i="8" s="1"/>
  <c r="AL198" i="8"/>
  <c r="AD198" i="8"/>
  <c r="V198" i="8"/>
  <c r="N198" i="8"/>
  <c r="AN197" i="8"/>
  <c r="AL197" i="8"/>
  <c r="AD197" i="8"/>
  <c r="V197" i="8"/>
  <c r="N197" i="8"/>
  <c r="AL196" i="8"/>
  <c r="AD196" i="8"/>
  <c r="V196" i="8"/>
  <c r="N196" i="8"/>
  <c r="AN196" i="8" s="1"/>
  <c r="AL195" i="8"/>
  <c r="AD195" i="8"/>
  <c r="V195" i="8"/>
  <c r="J195" i="8"/>
  <c r="J203" i="8" s="1"/>
  <c r="AL194" i="8"/>
  <c r="AD194" i="8"/>
  <c r="V194" i="8"/>
  <c r="N194" i="8"/>
  <c r="AN194" i="8" s="1"/>
  <c r="P190" i="8"/>
  <c r="R183" i="8"/>
  <c r="L183" i="8"/>
  <c r="J181" i="8"/>
  <c r="J180" i="8"/>
  <c r="H180" i="8"/>
  <c r="AJ177" i="8"/>
  <c r="AB177" i="8"/>
  <c r="AB183" i="8" s="1"/>
  <c r="Z177" i="8"/>
  <c r="Z183" i="8" s="1"/>
  <c r="R177" i="8"/>
  <c r="P177" i="8"/>
  <c r="AJ176" i="8"/>
  <c r="AH176" i="8"/>
  <c r="AF176" i="8"/>
  <c r="AB176" i="8"/>
  <c r="Z176" i="8"/>
  <c r="X176" i="8"/>
  <c r="T176" i="8"/>
  <c r="R176" i="8"/>
  <c r="P176" i="8"/>
  <c r="L176" i="8"/>
  <c r="J176" i="8"/>
  <c r="H176" i="8"/>
  <c r="AL175" i="8"/>
  <c r="AD175" i="8"/>
  <c r="V175" i="8"/>
  <c r="N175" i="8"/>
  <c r="AN175" i="8" s="1"/>
  <c r="AL174" i="8"/>
  <c r="AN174" i="8" s="1"/>
  <c r="AD174" i="8"/>
  <c r="V174" i="8"/>
  <c r="N174" i="8"/>
  <c r="AL173" i="8"/>
  <c r="AD173" i="8"/>
  <c r="V173" i="8"/>
  <c r="N173" i="8"/>
  <c r="AN173" i="8" s="1"/>
  <c r="AL172" i="8"/>
  <c r="AN172" i="8" s="1"/>
  <c r="AD172" i="8"/>
  <c r="V172" i="8"/>
  <c r="N172" i="8"/>
  <c r="AL171" i="8"/>
  <c r="AD171" i="8"/>
  <c r="V171" i="8"/>
  <c r="N171" i="8"/>
  <c r="AN171" i="8" s="1"/>
  <c r="AL170" i="8"/>
  <c r="AD170" i="8"/>
  <c r="V170" i="8"/>
  <c r="AN170" i="8" s="1"/>
  <c r="N170" i="8"/>
  <c r="AN169" i="8"/>
  <c r="AL169" i="8"/>
  <c r="AD169" i="8"/>
  <c r="V169" i="8"/>
  <c r="N169" i="8"/>
  <c r="AL168" i="8"/>
  <c r="AD168" i="8"/>
  <c r="AN168" i="8" s="1"/>
  <c r="V168" i="8"/>
  <c r="N168" i="8"/>
  <c r="AL167" i="8"/>
  <c r="AD167" i="8"/>
  <c r="V167" i="8"/>
  <c r="L167" i="8"/>
  <c r="L177" i="8" s="1"/>
  <c r="J167" i="8"/>
  <c r="H167" i="8"/>
  <c r="N167" i="8" s="1"/>
  <c r="AN167" i="8" s="1"/>
  <c r="AL166" i="8"/>
  <c r="AN166" i="8" s="1"/>
  <c r="AD166" i="8"/>
  <c r="V166" i="8"/>
  <c r="J166" i="8"/>
  <c r="H166" i="8"/>
  <c r="N166" i="8" s="1"/>
  <c r="AJ163" i="8"/>
  <c r="AH163" i="8"/>
  <c r="AF163" i="8"/>
  <c r="AL163" i="8" s="1"/>
  <c r="AD163" i="8"/>
  <c r="AB163" i="8"/>
  <c r="Z163" i="8"/>
  <c r="X163" i="8"/>
  <c r="T163" i="8"/>
  <c r="R163" i="8"/>
  <c r="P163" i="8"/>
  <c r="L163" i="8"/>
  <c r="J163" i="8"/>
  <c r="N163" i="8" s="1"/>
  <c r="H163" i="8"/>
  <c r="AL162" i="8"/>
  <c r="AD162" i="8"/>
  <c r="V162" i="8"/>
  <c r="N162" i="8"/>
  <c r="AN162" i="8" s="1"/>
  <c r="AL161" i="8"/>
  <c r="AD161" i="8"/>
  <c r="V161" i="8"/>
  <c r="N161" i="8"/>
  <c r="AN161" i="8" s="1"/>
  <c r="AN160" i="8"/>
  <c r="AL160" i="8"/>
  <c r="AD160" i="8"/>
  <c r="V160" i="8"/>
  <c r="N160" i="8"/>
  <c r="AL159" i="8"/>
  <c r="AD159" i="8"/>
  <c r="V159" i="8"/>
  <c r="AN159" i="8" s="1"/>
  <c r="N159" i="8"/>
  <c r="AL158" i="8"/>
  <c r="AD158" i="8"/>
  <c r="V158" i="8"/>
  <c r="N158" i="8"/>
  <c r="AL157" i="8"/>
  <c r="AD157" i="8"/>
  <c r="V157" i="8"/>
  <c r="N157" i="8"/>
  <c r="AN157" i="8" s="1"/>
  <c r="AN156" i="8"/>
  <c r="AL156" i="8"/>
  <c r="AD156" i="8"/>
  <c r="V156" i="8"/>
  <c r="N156" i="8"/>
  <c r="AL155" i="8"/>
  <c r="AD155" i="8"/>
  <c r="V155" i="8"/>
  <c r="AN155" i="8" s="1"/>
  <c r="N155" i="8"/>
  <c r="AL154" i="8"/>
  <c r="AD154" i="8"/>
  <c r="V154" i="8"/>
  <c r="N154" i="8"/>
  <c r="AN154" i="8" s="1"/>
  <c r="L154" i="8"/>
  <c r="AJ153" i="8"/>
  <c r="Z153" i="8"/>
  <c r="T153" i="8"/>
  <c r="L153" i="8"/>
  <c r="H153" i="8"/>
  <c r="N153" i="8" s="1"/>
  <c r="AJ152" i="8"/>
  <c r="R152" i="8"/>
  <c r="R153" i="8" s="1"/>
  <c r="P152" i="8"/>
  <c r="AJ151" i="8"/>
  <c r="AH151" i="8"/>
  <c r="AF151" i="8"/>
  <c r="AB151" i="8"/>
  <c r="Z151" i="8"/>
  <c r="AD151" i="8" s="1"/>
  <c r="X151" i="8"/>
  <c r="T151" i="8"/>
  <c r="R151" i="8"/>
  <c r="P151" i="8"/>
  <c r="V151" i="8" s="1"/>
  <c r="L151" i="8"/>
  <c r="J151" i="8"/>
  <c r="H151" i="8"/>
  <c r="N151" i="8" s="1"/>
  <c r="AL150" i="8"/>
  <c r="AN150" i="8" s="1"/>
  <c r="AD150" i="8"/>
  <c r="V150" i="8"/>
  <c r="N150" i="8"/>
  <c r="AJ149" i="8"/>
  <c r="AH149" i="8"/>
  <c r="AF149" i="8"/>
  <c r="AL149" i="8" s="1"/>
  <c r="AB149" i="8"/>
  <c r="Z149" i="8"/>
  <c r="AD149" i="8" s="1"/>
  <c r="X149" i="8"/>
  <c r="T149" i="8"/>
  <c r="R149" i="8"/>
  <c r="P149" i="8"/>
  <c r="L149" i="8"/>
  <c r="J149" i="8"/>
  <c r="H149" i="8"/>
  <c r="N149" i="8" s="1"/>
  <c r="AL148" i="8"/>
  <c r="AD148" i="8"/>
  <c r="V148" i="8"/>
  <c r="N148" i="8"/>
  <c r="AJ147" i="8"/>
  <c r="AH147" i="8"/>
  <c r="AF147" i="8"/>
  <c r="AL147" i="8" s="1"/>
  <c r="AB147" i="8"/>
  <c r="Z147" i="8"/>
  <c r="X147" i="8"/>
  <c r="AD147" i="8" s="1"/>
  <c r="T147" i="8"/>
  <c r="V147" i="8" s="1"/>
  <c r="R147" i="8"/>
  <c r="P147" i="8"/>
  <c r="L147" i="8"/>
  <c r="J147" i="8"/>
  <c r="H147" i="8"/>
  <c r="AL146" i="8"/>
  <c r="AD146" i="8"/>
  <c r="V146" i="8"/>
  <c r="N146" i="8"/>
  <c r="AN146" i="8" s="1"/>
  <c r="AL145" i="8"/>
  <c r="AD145" i="8"/>
  <c r="V145" i="8"/>
  <c r="N145" i="8"/>
  <c r="AN145" i="8" s="1"/>
  <c r="AJ144" i="8"/>
  <c r="AH144" i="8"/>
  <c r="AF144" i="8"/>
  <c r="AD144" i="8"/>
  <c r="R144" i="8"/>
  <c r="P144" i="8"/>
  <c r="V144" i="8" s="1"/>
  <c r="AJ143" i="8"/>
  <c r="AH143" i="8"/>
  <c r="AF143" i="8"/>
  <c r="AL143" i="8" s="1"/>
  <c r="AD143" i="8"/>
  <c r="AB143" i="8"/>
  <c r="AB144" i="8" s="1"/>
  <c r="Z143" i="8"/>
  <c r="Z144" i="8" s="1"/>
  <c r="X143" i="8"/>
  <c r="X144" i="8" s="1"/>
  <c r="T143" i="8"/>
  <c r="T144" i="8" s="1"/>
  <c r="R143" i="8"/>
  <c r="P143" i="8"/>
  <c r="J143" i="8"/>
  <c r="J144" i="8" s="1"/>
  <c r="H143" i="8"/>
  <c r="AL142" i="8"/>
  <c r="AD142" i="8"/>
  <c r="V142" i="8"/>
  <c r="N142" i="8"/>
  <c r="AN142" i="8" s="1"/>
  <c r="AL141" i="8"/>
  <c r="AD141" i="8"/>
  <c r="V141" i="8"/>
  <c r="N141" i="8"/>
  <c r="AL140" i="8"/>
  <c r="AD140" i="8"/>
  <c r="V140" i="8"/>
  <c r="N140" i="8"/>
  <c r="AL139" i="8"/>
  <c r="AD139" i="8"/>
  <c r="V139" i="8"/>
  <c r="N139" i="8"/>
  <c r="AN139" i="8" s="1"/>
  <c r="AL138" i="8"/>
  <c r="AD138" i="8"/>
  <c r="AN138" i="8" s="1"/>
  <c r="V138" i="8"/>
  <c r="N138" i="8"/>
  <c r="AL137" i="8"/>
  <c r="AD137" i="8"/>
  <c r="V137" i="8"/>
  <c r="N137" i="8"/>
  <c r="AN137" i="8" s="1"/>
  <c r="AL136" i="8"/>
  <c r="AD136" i="8"/>
  <c r="V136" i="8"/>
  <c r="AN136" i="8" s="1"/>
  <c r="N136" i="8"/>
  <c r="AL135" i="8"/>
  <c r="AD135" i="8"/>
  <c r="V135" i="8"/>
  <c r="N135" i="8"/>
  <c r="AJ134" i="8"/>
  <c r="AH134" i="8"/>
  <c r="AF134" i="8"/>
  <c r="AL134" i="8" s="1"/>
  <c r="AB134" i="8"/>
  <c r="Z134" i="8"/>
  <c r="Z164" i="8" s="1"/>
  <c r="X134" i="8"/>
  <c r="AD134" i="8" s="1"/>
  <c r="T134" i="8"/>
  <c r="R134" i="8"/>
  <c r="V134" i="8" s="1"/>
  <c r="P134" i="8"/>
  <c r="L134" i="8"/>
  <c r="H134" i="8"/>
  <c r="AL133" i="8"/>
  <c r="AD133" i="8"/>
  <c r="V133" i="8"/>
  <c r="N133" i="8"/>
  <c r="AN132" i="8"/>
  <c r="N132" i="8"/>
  <c r="AN131" i="8"/>
  <c r="N131" i="8"/>
  <c r="N130" i="8"/>
  <c r="AN130" i="8" s="1"/>
  <c r="AL129" i="8"/>
  <c r="AD129" i="8"/>
  <c r="V129" i="8"/>
  <c r="N129" i="8"/>
  <c r="AN129" i="8" s="1"/>
  <c r="AN128" i="8"/>
  <c r="AL128" i="8"/>
  <c r="AD128" i="8"/>
  <c r="V128" i="8"/>
  <c r="N128" i="8"/>
  <c r="AL127" i="8"/>
  <c r="AD127" i="8"/>
  <c r="V127" i="8"/>
  <c r="N127" i="8"/>
  <c r="AL126" i="8"/>
  <c r="AD126" i="8"/>
  <c r="AN126" i="8" s="1"/>
  <c r="V126" i="8"/>
  <c r="N126" i="8"/>
  <c r="AL125" i="8"/>
  <c r="AD125" i="8"/>
  <c r="V125" i="8"/>
  <c r="N125" i="8"/>
  <c r="AN125" i="8" s="1"/>
  <c r="AN124" i="8"/>
  <c r="AL124" i="8"/>
  <c r="AD124" i="8"/>
  <c r="V124" i="8"/>
  <c r="N124" i="8"/>
  <c r="AL123" i="8"/>
  <c r="AD123" i="8"/>
  <c r="V123" i="8"/>
  <c r="N123" i="8"/>
  <c r="AL122" i="8"/>
  <c r="AD122" i="8"/>
  <c r="V122" i="8"/>
  <c r="N122" i="8"/>
  <c r="AL121" i="8"/>
  <c r="AD121" i="8"/>
  <c r="V121" i="8"/>
  <c r="N121" i="8"/>
  <c r="AL120" i="8"/>
  <c r="AD120" i="8"/>
  <c r="AN120" i="8" s="1"/>
  <c r="V120" i="8"/>
  <c r="N120" i="8"/>
  <c r="AL119" i="8"/>
  <c r="AD119" i="8"/>
  <c r="V119" i="8"/>
  <c r="N119" i="8"/>
  <c r="AN119" i="8" s="1"/>
  <c r="AL118" i="8"/>
  <c r="AD118" i="8"/>
  <c r="V118" i="8"/>
  <c r="J118" i="8"/>
  <c r="AJ117" i="8"/>
  <c r="AH117" i="8"/>
  <c r="AF117" i="8"/>
  <c r="AL117" i="8" s="1"/>
  <c r="AB117" i="8"/>
  <c r="Z117" i="8"/>
  <c r="X117" i="8"/>
  <c r="T117" i="8"/>
  <c r="R117" i="8"/>
  <c r="P117" i="8"/>
  <c r="L117" i="8"/>
  <c r="J117" i="8"/>
  <c r="H117" i="8"/>
  <c r="N117" i="8" s="1"/>
  <c r="AL116" i="8"/>
  <c r="AD116" i="8"/>
  <c r="V116" i="8"/>
  <c r="N116" i="8"/>
  <c r="AN116" i="8" s="1"/>
  <c r="AJ115" i="8"/>
  <c r="AH115" i="8"/>
  <c r="AF115" i="8"/>
  <c r="AL115" i="8" s="1"/>
  <c r="AB115" i="8"/>
  <c r="Z115" i="8"/>
  <c r="X115" i="8"/>
  <c r="T115" i="8"/>
  <c r="R115" i="8"/>
  <c r="P115" i="8"/>
  <c r="V115" i="8" s="1"/>
  <c r="L115" i="8"/>
  <c r="J115" i="8"/>
  <c r="H115" i="8"/>
  <c r="N115" i="8" s="1"/>
  <c r="AL114" i="8"/>
  <c r="AD114" i="8"/>
  <c r="V114" i="8"/>
  <c r="AN114" i="8" s="1"/>
  <c r="N114" i="8"/>
  <c r="AN113" i="8"/>
  <c r="AL113" i="8"/>
  <c r="AD113" i="8"/>
  <c r="V113" i="8"/>
  <c r="N113" i="8"/>
  <c r="AL112" i="8"/>
  <c r="AD112" i="8"/>
  <c r="V112" i="8"/>
  <c r="N112" i="8"/>
  <c r="AN112" i="8" s="1"/>
  <c r="AN111" i="8"/>
  <c r="AL111" i="8"/>
  <c r="AD111" i="8"/>
  <c r="V111" i="8"/>
  <c r="N111" i="8"/>
  <c r="AJ110" i="8"/>
  <c r="AH110" i="8"/>
  <c r="AF110" i="8"/>
  <c r="AL110" i="8" s="1"/>
  <c r="AD110" i="8"/>
  <c r="AN110" i="8" s="1"/>
  <c r="AB110" i="8"/>
  <c r="Z110" i="8"/>
  <c r="X110" i="8"/>
  <c r="V110" i="8"/>
  <c r="T110" i="8"/>
  <c r="R110" i="8"/>
  <c r="P110" i="8"/>
  <c r="L110" i="8"/>
  <c r="J110" i="8"/>
  <c r="H110" i="8"/>
  <c r="N110" i="8" s="1"/>
  <c r="AN109" i="8"/>
  <c r="AL109" i="8"/>
  <c r="AD109" i="8"/>
  <c r="V109" i="8"/>
  <c r="N109" i="8"/>
  <c r="N108" i="8"/>
  <c r="AN108" i="8" s="1"/>
  <c r="N107" i="8"/>
  <c r="AN107" i="8" s="1"/>
  <c r="AL106" i="8"/>
  <c r="AD106" i="8"/>
  <c r="V106" i="8"/>
  <c r="N106" i="8"/>
  <c r="AN105" i="8"/>
  <c r="AL105" i="8"/>
  <c r="AD105" i="8"/>
  <c r="V105" i="8"/>
  <c r="N105" i="8"/>
  <c r="AL104" i="8"/>
  <c r="AD104" i="8"/>
  <c r="V104" i="8"/>
  <c r="AN104" i="8" s="1"/>
  <c r="N104" i="8"/>
  <c r="AL103" i="8"/>
  <c r="AD103" i="8"/>
  <c r="V103" i="8"/>
  <c r="AN103" i="8" s="1"/>
  <c r="N103" i="8"/>
  <c r="AL102" i="8"/>
  <c r="AD102" i="8"/>
  <c r="V102" i="8"/>
  <c r="N102" i="8"/>
  <c r="AN102" i="8" s="1"/>
  <c r="AL101" i="8"/>
  <c r="AN101" i="8" s="1"/>
  <c r="AD101" i="8"/>
  <c r="V101" i="8"/>
  <c r="N101" i="8"/>
  <c r="AL100" i="8"/>
  <c r="AD100" i="8"/>
  <c r="V100" i="8"/>
  <c r="N100" i="8"/>
  <c r="AN100" i="8" s="1"/>
  <c r="AJ99" i="8"/>
  <c r="AH99" i="8"/>
  <c r="AF99" i="8"/>
  <c r="AL99" i="8" s="1"/>
  <c r="AB99" i="8"/>
  <c r="Z99" i="8"/>
  <c r="X99" i="8"/>
  <c r="AD99" i="8" s="1"/>
  <c r="T99" i="8"/>
  <c r="R99" i="8"/>
  <c r="P99" i="8"/>
  <c r="V99" i="8" s="1"/>
  <c r="L99" i="8"/>
  <c r="J99" i="8"/>
  <c r="H99" i="8"/>
  <c r="N99" i="8" s="1"/>
  <c r="AL98" i="8"/>
  <c r="AD98" i="8"/>
  <c r="V98" i="8"/>
  <c r="N98" i="8"/>
  <c r="AN98" i="8" s="1"/>
  <c r="AL97" i="8"/>
  <c r="AD97" i="8"/>
  <c r="V97" i="8"/>
  <c r="N97" i="8"/>
  <c r="AN97" i="8" s="1"/>
  <c r="AL96" i="8"/>
  <c r="AD96" i="8"/>
  <c r="V96" i="8"/>
  <c r="N96" i="8"/>
  <c r="AL95" i="8"/>
  <c r="AD95" i="8"/>
  <c r="AN95" i="8" s="1"/>
  <c r="V95" i="8"/>
  <c r="N95" i="8"/>
  <c r="AL94" i="8"/>
  <c r="AD94" i="8"/>
  <c r="V94" i="8"/>
  <c r="N94" i="8"/>
  <c r="AL93" i="8"/>
  <c r="AD93" i="8"/>
  <c r="AN93" i="8" s="1"/>
  <c r="V93" i="8"/>
  <c r="N93" i="8"/>
  <c r="AL92" i="8"/>
  <c r="AD92" i="8"/>
  <c r="V92" i="8"/>
  <c r="N92" i="8"/>
  <c r="AJ91" i="8"/>
  <c r="AH91" i="8"/>
  <c r="AF91" i="8"/>
  <c r="AL91" i="8" s="1"/>
  <c r="AB91" i="8"/>
  <c r="Z91" i="8"/>
  <c r="X91" i="8"/>
  <c r="AD91" i="8" s="1"/>
  <c r="T91" i="8"/>
  <c r="V91" i="8" s="1"/>
  <c r="R91" i="8"/>
  <c r="P91" i="8"/>
  <c r="L91" i="8"/>
  <c r="J91" i="8"/>
  <c r="H91" i="8"/>
  <c r="AL90" i="8"/>
  <c r="AD90" i="8"/>
  <c r="V90" i="8"/>
  <c r="N90" i="8"/>
  <c r="AN90" i="8" s="1"/>
  <c r="AL89" i="8"/>
  <c r="AD89" i="8"/>
  <c r="V89" i="8"/>
  <c r="N89" i="8"/>
  <c r="AL88" i="8"/>
  <c r="AD88" i="8"/>
  <c r="V88" i="8"/>
  <c r="N88" i="8"/>
  <c r="AN88" i="8" s="1"/>
  <c r="AL87" i="8"/>
  <c r="AD87" i="8"/>
  <c r="AN87" i="8" s="1"/>
  <c r="V87" i="8"/>
  <c r="N87" i="8"/>
  <c r="AL86" i="8"/>
  <c r="AD86" i="8"/>
  <c r="V86" i="8"/>
  <c r="N86" i="8"/>
  <c r="AN86" i="8" s="1"/>
  <c r="AL85" i="8"/>
  <c r="AD85" i="8"/>
  <c r="V85" i="8"/>
  <c r="N85" i="8"/>
  <c r="AN85" i="8" s="1"/>
  <c r="AL84" i="8"/>
  <c r="AD84" i="8"/>
  <c r="V84" i="8"/>
  <c r="N84" i="8"/>
  <c r="AN84" i="8" s="1"/>
  <c r="AJ83" i="8"/>
  <c r="AH83" i="8"/>
  <c r="AF83" i="8"/>
  <c r="AL83" i="8" s="1"/>
  <c r="AD83" i="8"/>
  <c r="AB83" i="8"/>
  <c r="Z83" i="8"/>
  <c r="X83" i="8"/>
  <c r="T83" i="8"/>
  <c r="R83" i="8"/>
  <c r="P83" i="8"/>
  <c r="V83" i="8" s="1"/>
  <c r="L83" i="8"/>
  <c r="AL82" i="8"/>
  <c r="AK82" i="8"/>
  <c r="AD82" i="8"/>
  <c r="V82" i="8"/>
  <c r="N82" i="8"/>
  <c r="J82" i="8"/>
  <c r="H82" i="8"/>
  <c r="AJ81" i="8"/>
  <c r="AH81" i="8"/>
  <c r="AF81" i="8"/>
  <c r="AL81" i="8" s="1"/>
  <c r="AB81" i="8"/>
  <c r="Z81" i="8"/>
  <c r="X81" i="8"/>
  <c r="AD81" i="8" s="1"/>
  <c r="T81" i="8"/>
  <c r="V81" i="8" s="1"/>
  <c r="R81" i="8"/>
  <c r="P81" i="8"/>
  <c r="L81" i="8"/>
  <c r="J81" i="8"/>
  <c r="H81" i="8"/>
  <c r="N81" i="8" s="1"/>
  <c r="AN80" i="8"/>
  <c r="AL80" i="8"/>
  <c r="AD80" i="8"/>
  <c r="V80" i="8"/>
  <c r="N80" i="8"/>
  <c r="AL79" i="8"/>
  <c r="AD79" i="8"/>
  <c r="V79" i="8"/>
  <c r="N79" i="8"/>
  <c r="AN79" i="8" s="1"/>
  <c r="AL78" i="8"/>
  <c r="AD78" i="8"/>
  <c r="V78" i="8"/>
  <c r="N78" i="8"/>
  <c r="AL77" i="8"/>
  <c r="AJ77" i="8"/>
  <c r="AH77" i="8"/>
  <c r="AF77" i="8"/>
  <c r="AB77" i="8"/>
  <c r="Z77" i="8"/>
  <c r="X77" i="8"/>
  <c r="T77" i="8"/>
  <c r="R77" i="8"/>
  <c r="P77" i="8"/>
  <c r="V77" i="8" s="1"/>
  <c r="L77" i="8"/>
  <c r="J77" i="8"/>
  <c r="H77" i="8"/>
  <c r="AL76" i="8"/>
  <c r="AD76" i="8"/>
  <c r="AN76" i="8" s="1"/>
  <c r="V76" i="8"/>
  <c r="N76" i="8"/>
  <c r="AJ75" i="8"/>
  <c r="AH75" i="8"/>
  <c r="AF75" i="8"/>
  <c r="AB75" i="8"/>
  <c r="AB164" i="8" s="1"/>
  <c r="Z75" i="8"/>
  <c r="AD75" i="8" s="1"/>
  <c r="X75" i="8"/>
  <c r="T75" i="8"/>
  <c r="R75" i="8"/>
  <c r="P75" i="8"/>
  <c r="V75" i="8" s="1"/>
  <c r="L75" i="8"/>
  <c r="J75" i="8"/>
  <c r="H75" i="8"/>
  <c r="N75" i="8" s="1"/>
  <c r="AN74" i="8"/>
  <c r="AL74" i="8"/>
  <c r="AD74" i="8"/>
  <c r="V74" i="8"/>
  <c r="N74" i="8"/>
  <c r="AL73" i="8"/>
  <c r="AD73" i="8"/>
  <c r="V73" i="8"/>
  <c r="AN73" i="8" s="1"/>
  <c r="N73" i="8"/>
  <c r="AL72" i="8"/>
  <c r="AN72" i="8" s="1"/>
  <c r="AD72" i="8"/>
  <c r="V72" i="8"/>
  <c r="N72" i="8"/>
  <c r="AJ68" i="8"/>
  <c r="AL68" i="8" s="1"/>
  <c r="AH68" i="8"/>
  <c r="AI68" i="8" s="1"/>
  <c r="AF68" i="8"/>
  <c r="AB68" i="8"/>
  <c r="Z68" i="8"/>
  <c r="X68" i="8"/>
  <c r="T68" i="8"/>
  <c r="R68" i="8"/>
  <c r="P68" i="8"/>
  <c r="N68" i="8"/>
  <c r="L68" i="8"/>
  <c r="J68" i="8"/>
  <c r="H68" i="8"/>
  <c r="AL67" i="8"/>
  <c r="AD67" i="8"/>
  <c r="V67" i="8"/>
  <c r="N67" i="8"/>
  <c r="AN67" i="8" s="1"/>
  <c r="AL66" i="8"/>
  <c r="AD66" i="8"/>
  <c r="V66" i="8"/>
  <c r="N66" i="8"/>
  <c r="AL65" i="8"/>
  <c r="AD65" i="8"/>
  <c r="V65" i="8"/>
  <c r="N65" i="8"/>
  <c r="AL64" i="8"/>
  <c r="AD64" i="8"/>
  <c r="V64" i="8"/>
  <c r="N64" i="8"/>
  <c r="AN64" i="8" s="1"/>
  <c r="AL63" i="8"/>
  <c r="AD63" i="8"/>
  <c r="V63" i="8"/>
  <c r="N63" i="8"/>
  <c r="AN63" i="8" s="1"/>
  <c r="AL62" i="8"/>
  <c r="AD62" i="8"/>
  <c r="V62" i="8"/>
  <c r="N62" i="8"/>
  <c r="AF61" i="8"/>
  <c r="T61" i="8"/>
  <c r="R61" i="8"/>
  <c r="R70" i="8" s="1"/>
  <c r="AJ60" i="8"/>
  <c r="AF60" i="8"/>
  <c r="X60" i="8"/>
  <c r="R60" i="8"/>
  <c r="R69" i="8" s="1"/>
  <c r="L60" i="8"/>
  <c r="L69" i="8" s="1"/>
  <c r="H60" i="8"/>
  <c r="AJ59" i="8"/>
  <c r="AL59" i="8" s="1"/>
  <c r="AH59" i="8"/>
  <c r="AF59" i="8"/>
  <c r="AB59" i="8"/>
  <c r="Z59" i="8"/>
  <c r="X59" i="8"/>
  <c r="T59" i="8"/>
  <c r="R59" i="8"/>
  <c r="P59" i="8"/>
  <c r="V59" i="8" s="1"/>
  <c r="L59" i="8"/>
  <c r="H59" i="8"/>
  <c r="AL58" i="8"/>
  <c r="AD58" i="8"/>
  <c r="V58" i="8"/>
  <c r="J58" i="8"/>
  <c r="N58" i="8" s="1"/>
  <c r="AN58" i="8" s="1"/>
  <c r="AL57" i="8"/>
  <c r="AJ57" i="8"/>
  <c r="AH57" i="8"/>
  <c r="AF57" i="8"/>
  <c r="AB57" i="8"/>
  <c r="Z57" i="8"/>
  <c r="X57" i="8"/>
  <c r="AD57" i="8" s="1"/>
  <c r="T57" i="8"/>
  <c r="R57" i="8"/>
  <c r="V57" i="8" s="1"/>
  <c r="P57" i="8"/>
  <c r="L57" i="8"/>
  <c r="J57" i="8"/>
  <c r="H57" i="8"/>
  <c r="N57" i="8" s="1"/>
  <c r="AN57" i="8" s="1"/>
  <c r="AL56" i="8"/>
  <c r="AD56" i="8"/>
  <c r="AN56" i="8" s="1"/>
  <c r="V56" i="8"/>
  <c r="N56" i="8"/>
  <c r="AJ55" i="8"/>
  <c r="AH55" i="8"/>
  <c r="AH152" i="8" s="1"/>
  <c r="AH153" i="8" s="1"/>
  <c r="AF55" i="8"/>
  <c r="AB55" i="8"/>
  <c r="AB152" i="8" s="1"/>
  <c r="AB153" i="8" s="1"/>
  <c r="Z55" i="8"/>
  <c r="Z152" i="8" s="1"/>
  <c r="X55" i="8"/>
  <c r="T55" i="8"/>
  <c r="T152" i="8" s="1"/>
  <c r="R55" i="8"/>
  <c r="P55" i="8"/>
  <c r="L55" i="8"/>
  <c r="L152" i="8" s="1"/>
  <c r="J55" i="8"/>
  <c r="J152" i="8" s="1"/>
  <c r="J153" i="8" s="1"/>
  <c r="H55" i="8"/>
  <c r="H152" i="8" s="1"/>
  <c r="N152" i="8" s="1"/>
  <c r="AL54" i="8"/>
  <c r="AD54" i="8"/>
  <c r="AN54" i="8" s="1"/>
  <c r="V54" i="8"/>
  <c r="N54" i="8"/>
  <c r="N53" i="8"/>
  <c r="AN53" i="8" s="1"/>
  <c r="AL52" i="8"/>
  <c r="AN52" i="8" s="1"/>
  <c r="AD52" i="8"/>
  <c r="V52" i="8"/>
  <c r="J52" i="8"/>
  <c r="H52" i="8"/>
  <c r="N52" i="8" s="1"/>
  <c r="AJ51" i="8"/>
  <c r="AH51" i="8"/>
  <c r="AF51" i="8"/>
  <c r="AL51" i="8" s="1"/>
  <c r="AB51" i="8"/>
  <c r="AB61" i="8" s="1"/>
  <c r="Z51" i="8"/>
  <c r="Z61" i="8" s="1"/>
  <c r="X51" i="8"/>
  <c r="AD51" i="8" s="1"/>
  <c r="T51" i="8"/>
  <c r="R51" i="8"/>
  <c r="P51" i="8"/>
  <c r="J51" i="8"/>
  <c r="H51" i="8"/>
  <c r="AL50" i="8"/>
  <c r="AJ50" i="8"/>
  <c r="AH50" i="8"/>
  <c r="AF50" i="8"/>
  <c r="AB50" i="8"/>
  <c r="Z50" i="8"/>
  <c r="Z60" i="8" s="1"/>
  <c r="X50" i="8"/>
  <c r="AD50" i="8" s="1"/>
  <c r="T50" i="8"/>
  <c r="R50" i="8"/>
  <c r="V50" i="8" s="1"/>
  <c r="P50" i="8"/>
  <c r="L50" i="8"/>
  <c r="J50" i="8"/>
  <c r="H50" i="8"/>
  <c r="AL49" i="8"/>
  <c r="AD49" i="8"/>
  <c r="V49" i="8"/>
  <c r="L49" i="8"/>
  <c r="J49" i="8"/>
  <c r="H49" i="8"/>
  <c r="AL48" i="8"/>
  <c r="AD48" i="8"/>
  <c r="V48" i="8"/>
  <c r="N48" i="8"/>
  <c r="AN48" i="8" s="1"/>
  <c r="N47" i="8"/>
  <c r="AN47" i="8" s="1"/>
  <c r="AL46" i="8"/>
  <c r="AD46" i="8"/>
  <c r="V46" i="8"/>
  <c r="N46" i="8"/>
  <c r="AL45" i="8"/>
  <c r="AD45" i="8"/>
  <c r="V45" i="8"/>
  <c r="N45" i="8"/>
  <c r="N44" i="8"/>
  <c r="AN44" i="8" s="1"/>
  <c r="AL43" i="8"/>
  <c r="AD43" i="8"/>
  <c r="V43" i="8"/>
  <c r="N43" i="8"/>
  <c r="AL42" i="8"/>
  <c r="AD42" i="8"/>
  <c r="AN42" i="8" s="1"/>
  <c r="V42" i="8"/>
  <c r="N42" i="8"/>
  <c r="AL41" i="8"/>
  <c r="AD41" i="8"/>
  <c r="V41" i="8"/>
  <c r="N41" i="8"/>
  <c r="AL40" i="8"/>
  <c r="AD40" i="8"/>
  <c r="V40" i="8"/>
  <c r="N40" i="8"/>
  <c r="AL39" i="8"/>
  <c r="AD39" i="8"/>
  <c r="V39" i="8"/>
  <c r="N39" i="8"/>
  <c r="AL38" i="8"/>
  <c r="AD38" i="8"/>
  <c r="V38" i="8"/>
  <c r="N38" i="8"/>
  <c r="AL37" i="8"/>
  <c r="AD37" i="8"/>
  <c r="V37" i="8"/>
  <c r="N37" i="8"/>
  <c r="AL36" i="8"/>
  <c r="AD36" i="8"/>
  <c r="V36" i="8"/>
  <c r="N36" i="8"/>
  <c r="AN36" i="8" s="1"/>
  <c r="AL35" i="8"/>
  <c r="AD35" i="8"/>
  <c r="V35" i="8"/>
  <c r="N35" i="8"/>
  <c r="AL34" i="8"/>
  <c r="AN34" i="8" s="1"/>
  <c r="AD34" i="8"/>
  <c r="V34" i="8"/>
  <c r="N34" i="8"/>
  <c r="AL33" i="8"/>
  <c r="AD33" i="8"/>
  <c r="V33" i="8"/>
  <c r="N33" i="8"/>
  <c r="AN32" i="8"/>
  <c r="AL32" i="8"/>
  <c r="AD32" i="8"/>
  <c r="V32" i="8"/>
  <c r="N32" i="8"/>
  <c r="AL31" i="8"/>
  <c r="AD31" i="8"/>
  <c r="V31" i="8"/>
  <c r="N31" i="8"/>
  <c r="AL30" i="8"/>
  <c r="AD30" i="8"/>
  <c r="AN30" i="8" s="1"/>
  <c r="V30" i="8"/>
  <c r="N30" i="8"/>
  <c r="AL29" i="8"/>
  <c r="AD29" i="8"/>
  <c r="V29" i="8"/>
  <c r="N29" i="8"/>
  <c r="AL28" i="8"/>
  <c r="AD28" i="8"/>
  <c r="V28" i="8"/>
  <c r="N28" i="8"/>
  <c r="AJ27" i="8"/>
  <c r="AH27" i="8"/>
  <c r="AN26" i="8"/>
  <c r="AL26" i="8"/>
  <c r="AK26" i="8"/>
  <c r="AJ26" i="8"/>
  <c r="AH26" i="8"/>
  <c r="AF26" i="8"/>
  <c r="AD26" i="8"/>
  <c r="AB26" i="8"/>
  <c r="Z26" i="8"/>
  <c r="X26" i="8"/>
  <c r="T26" i="8"/>
  <c r="R26" i="8"/>
  <c r="P26" i="8"/>
  <c r="V26" i="8" s="1"/>
  <c r="L26" i="8"/>
  <c r="J26" i="8"/>
  <c r="H26" i="8"/>
  <c r="N26" i="8" s="1"/>
  <c r="AN25" i="8"/>
  <c r="AL25" i="8"/>
  <c r="AK25" i="8"/>
  <c r="AI25" i="8"/>
  <c r="AD25" i="8"/>
  <c r="V25" i="8"/>
  <c r="N25" i="8"/>
  <c r="AL24" i="8"/>
  <c r="AK24" i="8"/>
  <c r="AJ24" i="8"/>
  <c r="AH24" i="8"/>
  <c r="AF24" i="8"/>
  <c r="AB24" i="8"/>
  <c r="Z24" i="8"/>
  <c r="X24" i="8"/>
  <c r="AD24" i="8" s="1"/>
  <c r="T24" i="8"/>
  <c r="V24" i="8" s="1"/>
  <c r="R24" i="8"/>
  <c r="P24" i="8"/>
  <c r="J24" i="8"/>
  <c r="H24" i="8"/>
  <c r="AL23" i="8"/>
  <c r="AI23" i="8"/>
  <c r="AD23" i="8"/>
  <c r="V23" i="8"/>
  <c r="L23" i="8"/>
  <c r="L24" i="8" s="1"/>
  <c r="AJ22" i="8"/>
  <c r="AH22" i="8"/>
  <c r="AF22" i="8"/>
  <c r="AB22" i="8"/>
  <c r="AD22" i="8" s="1"/>
  <c r="Z22" i="8"/>
  <c r="X22" i="8"/>
  <c r="T22" i="8"/>
  <c r="R22" i="8"/>
  <c r="P22" i="8"/>
  <c r="V22" i="8" s="1"/>
  <c r="L22" i="8"/>
  <c r="J22" i="8"/>
  <c r="H22" i="8"/>
  <c r="AL21" i="8"/>
  <c r="AD21" i="8"/>
  <c r="V21" i="8"/>
  <c r="N21" i="8"/>
  <c r="AK20" i="8"/>
  <c r="AJ20" i="8"/>
  <c r="AI20" i="8"/>
  <c r="AH20" i="8"/>
  <c r="AF20" i="8"/>
  <c r="AB20" i="8"/>
  <c r="Z20" i="8"/>
  <c r="X20" i="8"/>
  <c r="T20" i="8"/>
  <c r="R20" i="8"/>
  <c r="V20" i="8" s="1"/>
  <c r="P20" i="8"/>
  <c r="L20" i="8"/>
  <c r="J20" i="8"/>
  <c r="H20" i="8"/>
  <c r="AL19" i="8"/>
  <c r="AI19" i="8"/>
  <c r="AD19" i="8"/>
  <c r="V19" i="8"/>
  <c r="N19" i="8"/>
  <c r="AN19" i="8" s="1"/>
  <c r="AN18" i="8"/>
  <c r="AL18" i="8"/>
  <c r="AD18" i="8"/>
  <c r="V18" i="8"/>
  <c r="N18" i="8"/>
  <c r="AL17" i="8"/>
  <c r="AI17" i="8"/>
  <c r="AD17" i="8"/>
  <c r="V17" i="8"/>
  <c r="N17" i="8"/>
  <c r="AN17" i="8" s="1"/>
  <c r="AJ16" i="8"/>
  <c r="AK5" i="8" s="1"/>
  <c r="AH16" i="8"/>
  <c r="AF16" i="8"/>
  <c r="AB16" i="8"/>
  <c r="Z16" i="8"/>
  <c r="X16" i="8"/>
  <c r="T16" i="8"/>
  <c r="R16" i="8"/>
  <c r="S5" i="8" s="1"/>
  <c r="P16" i="8"/>
  <c r="N16" i="8"/>
  <c r="L16" i="8"/>
  <c r="J16" i="8"/>
  <c r="H16" i="8"/>
  <c r="I5" i="8" s="1"/>
  <c r="AL15" i="8"/>
  <c r="AD15" i="8"/>
  <c r="V15" i="8"/>
  <c r="AN15" i="8" s="1"/>
  <c r="N15" i="8"/>
  <c r="AL14" i="8"/>
  <c r="AD14" i="8"/>
  <c r="V14" i="8"/>
  <c r="N14" i="8"/>
  <c r="AN13" i="8"/>
  <c r="AL13" i="8"/>
  <c r="AI13" i="8"/>
  <c r="AD13" i="8"/>
  <c r="V13" i="8"/>
  <c r="N13" i="8"/>
  <c r="AN12" i="8"/>
  <c r="AL12" i="8"/>
  <c r="AK12" i="8"/>
  <c r="AD12" i="8"/>
  <c r="V12" i="8"/>
  <c r="N12" i="8"/>
  <c r="AJ11" i="8"/>
  <c r="AH11" i="8"/>
  <c r="AF11" i="8"/>
  <c r="AB11" i="8"/>
  <c r="Z11" i="8"/>
  <c r="X11" i="8"/>
  <c r="Y4" i="8" s="1"/>
  <c r="T11" i="8"/>
  <c r="R11" i="8"/>
  <c r="S4" i="8" s="1"/>
  <c r="P11" i="8"/>
  <c r="N11" i="8"/>
  <c r="L11" i="8"/>
  <c r="J11" i="8"/>
  <c r="H11" i="8"/>
  <c r="AL10" i="8"/>
  <c r="AK10" i="8"/>
  <c r="AI10" i="8"/>
  <c r="AD10" i="8"/>
  <c r="V10" i="8"/>
  <c r="N10" i="8"/>
  <c r="AL9" i="8"/>
  <c r="AK9" i="8"/>
  <c r="AI9" i="8"/>
  <c r="AD9" i="8"/>
  <c r="V9" i="8"/>
  <c r="N9" i="8"/>
  <c r="AL8" i="8"/>
  <c r="AK8" i="8"/>
  <c r="AI8" i="8"/>
  <c r="AD8" i="8"/>
  <c r="V8" i="8"/>
  <c r="N8" i="8"/>
  <c r="AL7" i="8"/>
  <c r="AD7" i="8"/>
  <c r="V7" i="8"/>
  <c r="AN7" i="8" s="1"/>
  <c r="N7" i="8"/>
  <c r="AJ6" i="8"/>
  <c r="AH6" i="8"/>
  <c r="AF6" i="8"/>
  <c r="AL6" i="8" s="1"/>
  <c r="AB6" i="8"/>
  <c r="AD6" i="8" s="1"/>
  <c r="Z6" i="8"/>
  <c r="X6" i="8"/>
  <c r="T6" i="8"/>
  <c r="R6" i="8"/>
  <c r="V6" i="8" s="1"/>
  <c r="P6" i="8"/>
  <c r="L6" i="8"/>
  <c r="J6" i="8"/>
  <c r="AL5" i="8"/>
  <c r="AI5" i="8"/>
  <c r="AG5" i="8"/>
  <c r="AD5" i="8"/>
  <c r="AC5" i="8"/>
  <c r="AA5" i="8"/>
  <c r="V5" i="8"/>
  <c r="U5" i="8"/>
  <c r="N5" i="8"/>
  <c r="M5" i="8"/>
  <c r="L5" i="8"/>
  <c r="K5" i="8"/>
  <c r="J5" i="8"/>
  <c r="H5" i="8"/>
  <c r="AL4" i="8"/>
  <c r="AK4" i="8"/>
  <c r="AI4" i="8"/>
  <c r="AG4" i="8"/>
  <c r="AD4" i="8"/>
  <c r="V4" i="8"/>
  <c r="U4" i="8"/>
  <c r="M4" i="8"/>
  <c r="L4" i="8"/>
  <c r="K4" i="8"/>
  <c r="J4" i="8"/>
  <c r="H4" i="8"/>
  <c r="I4" i="8" s="1"/>
  <c r="L90" i="1"/>
  <c r="L99" i="1"/>
  <c r="L122" i="1"/>
  <c r="L146" i="1"/>
  <c r="H177" i="1"/>
  <c r="AL59" i="1" l="1"/>
  <c r="V59" i="1"/>
  <c r="AD59" i="1"/>
  <c r="R182" i="8"/>
  <c r="S70" i="8"/>
  <c r="AN115" i="8"/>
  <c r="L164" i="8"/>
  <c r="N59" i="8"/>
  <c r="AA164" i="8"/>
  <c r="Z184" i="8"/>
  <c r="S177" i="8"/>
  <c r="Y20" i="8"/>
  <c r="AD20" i="8"/>
  <c r="L51" i="8"/>
  <c r="L61" i="8" s="1"/>
  <c r="L143" i="8"/>
  <c r="L144" i="8" s="1"/>
  <c r="AC68" i="8"/>
  <c r="AG11" i="8"/>
  <c r="AL11" i="8"/>
  <c r="N49" i="8"/>
  <c r="AN49" i="8" s="1"/>
  <c r="H61" i="8"/>
  <c r="N51" i="8"/>
  <c r="AN51" i="8" s="1"/>
  <c r="P60" i="8"/>
  <c r="X61" i="8"/>
  <c r="AN121" i="8"/>
  <c r="V203" i="8"/>
  <c r="AA4" i="8"/>
  <c r="Q5" i="8"/>
  <c r="P27" i="8"/>
  <c r="AN28" i="8"/>
  <c r="AC11" i="8"/>
  <c r="AD11" i="8"/>
  <c r="N23" i="8"/>
  <c r="S6" i="8"/>
  <c r="AL20" i="8"/>
  <c r="AG24" i="8"/>
  <c r="AG20" i="8"/>
  <c r="AG22" i="8"/>
  <c r="R27" i="8"/>
  <c r="J59" i="8"/>
  <c r="J60" i="8" s="1"/>
  <c r="AF70" i="8"/>
  <c r="AN158" i="8"/>
  <c r="S68" i="8"/>
  <c r="Q177" i="8"/>
  <c r="AN82" i="8"/>
  <c r="AN81" i="8"/>
  <c r="S69" i="8"/>
  <c r="AN11" i="8"/>
  <c r="AD16" i="8"/>
  <c r="X27" i="8"/>
  <c r="AN39" i="8"/>
  <c r="S60" i="8"/>
  <c r="AN62" i="8"/>
  <c r="AB184" i="8"/>
  <c r="AN89" i="8"/>
  <c r="AN140" i="8"/>
  <c r="AN4" i="8"/>
  <c r="T27" i="8"/>
  <c r="S22" i="8"/>
  <c r="AC61" i="8"/>
  <c r="AB70" i="8"/>
  <c r="S16" i="8"/>
  <c r="AK68" i="8"/>
  <c r="N55" i="8"/>
  <c r="AN10" i="8"/>
  <c r="H144" i="8"/>
  <c r="N144" i="8" s="1"/>
  <c r="H69" i="8"/>
  <c r="S20" i="8"/>
  <c r="U68" i="8"/>
  <c r="S61" i="8"/>
  <c r="K22" i="8"/>
  <c r="O5" i="8"/>
  <c r="AA61" i="8"/>
  <c r="Z70" i="8"/>
  <c r="Y60" i="8"/>
  <c r="X69" i="8"/>
  <c r="AJ164" i="8"/>
  <c r="AL75" i="8"/>
  <c r="AN75" i="8" s="1"/>
  <c r="AB27" i="8"/>
  <c r="AC164" i="8" s="1"/>
  <c r="AN31" i="8"/>
  <c r="Y5" i="8"/>
  <c r="Y22" i="8"/>
  <c r="K68" i="8"/>
  <c r="AN14" i="8"/>
  <c r="AN16" i="8" s="1"/>
  <c r="AI12" i="8"/>
  <c r="AI82" i="8"/>
  <c r="AI80" i="8"/>
  <c r="AI21" i="8"/>
  <c r="AI7" i="8"/>
  <c r="AI18" i="8"/>
  <c r="AI15" i="8"/>
  <c r="AI14" i="8"/>
  <c r="AI6" i="8"/>
  <c r="AI11" i="8"/>
  <c r="AI16" i="8"/>
  <c r="AH61" i="8"/>
  <c r="P183" i="8"/>
  <c r="AC6" i="8"/>
  <c r="AN41" i="8"/>
  <c r="J61" i="8"/>
  <c r="P164" i="8"/>
  <c r="T70" i="8"/>
  <c r="U61" i="8"/>
  <c r="V16" i="8"/>
  <c r="N4" i="8"/>
  <c r="O4" i="8" s="1"/>
  <c r="H6" i="8"/>
  <c r="AN203" i="8"/>
  <c r="AN99" i="8"/>
  <c r="S24" i="8"/>
  <c r="S26" i="8"/>
  <c r="AN20" i="8"/>
  <c r="I60" i="8"/>
  <c r="N176" i="8"/>
  <c r="AJ183" i="8"/>
  <c r="AK177" i="8"/>
  <c r="AN40" i="8"/>
  <c r="N50" i="8"/>
  <c r="AN50" i="8" s="1"/>
  <c r="T177" i="8"/>
  <c r="U176" i="8"/>
  <c r="V176" i="8"/>
  <c r="AN21" i="8"/>
  <c r="AN22" i="8" s="1"/>
  <c r="AN46" i="8"/>
  <c r="Y176" i="8"/>
  <c r="X177" i="8"/>
  <c r="AD176" i="8"/>
  <c r="N24" i="8"/>
  <c r="H27" i="8"/>
  <c r="Y26" i="8"/>
  <c r="T60" i="8"/>
  <c r="AN5" i="8"/>
  <c r="AK19" i="8"/>
  <c r="AK7" i="8"/>
  <c r="AK22" i="8"/>
  <c r="AK13" i="8"/>
  <c r="AK21" i="8"/>
  <c r="AK80" i="8"/>
  <c r="AK17" i="8"/>
  <c r="AK18" i="8"/>
  <c r="AK15" i="8"/>
  <c r="AK23" i="8"/>
  <c r="AK14" i="8"/>
  <c r="AK176" i="8"/>
  <c r="N77" i="8"/>
  <c r="AN77" i="8" s="1"/>
  <c r="AL144" i="8"/>
  <c r="AF177" i="8"/>
  <c r="AL176" i="8"/>
  <c r="AC4" i="8"/>
  <c r="AN106" i="8"/>
  <c r="AG176" i="8"/>
  <c r="AN96" i="8"/>
  <c r="AN210" i="8"/>
  <c r="AN215" i="8"/>
  <c r="AN37" i="8"/>
  <c r="AI176" i="8"/>
  <c r="AH177" i="8"/>
  <c r="I11" i="8"/>
  <c r="AK11" i="8"/>
  <c r="I16" i="8"/>
  <c r="AN33" i="8"/>
  <c r="X152" i="8"/>
  <c r="AD55" i="8"/>
  <c r="AG60" i="8"/>
  <c r="AF69" i="8"/>
  <c r="V143" i="8"/>
  <c r="K11" i="8"/>
  <c r="AD77" i="8"/>
  <c r="AN135" i="8"/>
  <c r="J177" i="8"/>
  <c r="AN9" i="8"/>
  <c r="AF27" i="8"/>
  <c r="K24" i="8"/>
  <c r="V55" i="8"/>
  <c r="R164" i="8"/>
  <c r="AN8" i="8"/>
  <c r="L27" i="8"/>
  <c r="M6" i="8" s="1"/>
  <c r="N22" i="8"/>
  <c r="AN38" i="8"/>
  <c r="AH60" i="8"/>
  <c r="AK60" i="8"/>
  <c r="AJ69" i="8"/>
  <c r="AK69" i="8" s="1"/>
  <c r="AD68" i="8"/>
  <c r="H83" i="8"/>
  <c r="AN94" i="8"/>
  <c r="L185" i="8"/>
  <c r="AK6" i="8"/>
  <c r="AK16" i="8"/>
  <c r="I22" i="8"/>
  <c r="AN29" i="8"/>
  <c r="AL55" i="8"/>
  <c r="AF152" i="8"/>
  <c r="AA68" i="8"/>
  <c r="Z69" i="8"/>
  <c r="AA69" i="8" s="1"/>
  <c r="T164" i="8"/>
  <c r="K82" i="8"/>
  <c r="J134" i="8"/>
  <c r="N134" i="8" s="1"/>
  <c r="AN134" i="8" s="1"/>
  <c r="N118" i="8"/>
  <c r="AN118" i="8" s="1"/>
  <c r="AN122" i="8"/>
  <c r="AN133" i="8"/>
  <c r="V11" i="8"/>
  <c r="N20" i="8"/>
  <c r="AD59" i="8"/>
  <c r="AN127" i="8"/>
  <c r="AG6" i="8"/>
  <c r="I20" i="8"/>
  <c r="AL22" i="8"/>
  <c r="AN43" i="8"/>
  <c r="AB60" i="8"/>
  <c r="AH164" i="8"/>
  <c r="J83" i="8"/>
  <c r="J164" i="8" s="1"/>
  <c r="K164" i="8" s="1"/>
  <c r="AN92" i="8"/>
  <c r="AN123" i="8"/>
  <c r="V152" i="8"/>
  <c r="P153" i="8"/>
  <c r="V153" i="8" s="1"/>
  <c r="Q4" i="8"/>
  <c r="J27" i="8"/>
  <c r="K176" i="8" s="1"/>
  <c r="AN45" i="8"/>
  <c r="AN141" i="8"/>
  <c r="Q6" i="8"/>
  <c r="AL16" i="8"/>
  <c r="AN35" i="8"/>
  <c r="P61" i="8"/>
  <c r="V51" i="8"/>
  <c r="AN65" i="8"/>
  <c r="V68" i="8"/>
  <c r="AN68" i="8" s="1"/>
  <c r="N91" i="8"/>
  <c r="AN91" i="8" s="1"/>
  <c r="V117" i="8"/>
  <c r="AN117" i="8" s="1"/>
  <c r="N147" i="8"/>
  <c r="AN147" i="8" s="1"/>
  <c r="S176" i="8"/>
  <c r="AN198" i="8"/>
  <c r="AL151" i="8"/>
  <c r="AN151" i="8" s="1"/>
  <c r="AI22" i="8"/>
  <c r="AI24" i="8"/>
  <c r="AI26" i="8"/>
  <c r="Z27" i="8"/>
  <c r="AA20" i="8" s="1"/>
  <c r="AJ61" i="8"/>
  <c r="V163" i="8"/>
  <c r="AN163" i="8" s="1"/>
  <c r="H177" i="8"/>
  <c r="AN211" i="8"/>
  <c r="AN148" i="8"/>
  <c r="AN207" i="8"/>
  <c r="U24" i="8"/>
  <c r="U26" i="8"/>
  <c r="AN78" i="8"/>
  <c r="AN213" i="8"/>
  <c r="AN66" i="8"/>
  <c r="AD115" i="8"/>
  <c r="AD117" i="8"/>
  <c r="V149" i="8"/>
  <c r="AN149" i="8" s="1"/>
  <c r="N195" i="8"/>
  <c r="AN195" i="8" s="1"/>
  <c r="L177" i="1"/>
  <c r="J69" i="8" l="1"/>
  <c r="K69" i="8" s="1"/>
  <c r="K60" i="8"/>
  <c r="N60" i="8"/>
  <c r="AI60" i="8"/>
  <c r="AH69" i="8"/>
  <c r="AI69" i="8" s="1"/>
  <c r="U177" i="8"/>
  <c r="T183" i="8"/>
  <c r="AB69" i="8"/>
  <c r="AC69" i="8" s="1"/>
  <c r="AC60" i="8"/>
  <c r="T178" i="8"/>
  <c r="U178" i="8" s="1"/>
  <c r="T182" i="8"/>
  <c r="U70" i="8"/>
  <c r="H70" i="8"/>
  <c r="H71" i="8" s="1"/>
  <c r="I61" i="8"/>
  <c r="N61" i="8"/>
  <c r="AN218" i="8"/>
  <c r="P70" i="8"/>
  <c r="P71" i="8" s="1"/>
  <c r="Q61" i="8"/>
  <c r="V61" i="8"/>
  <c r="M20" i="8"/>
  <c r="P184" i="8"/>
  <c r="V164" i="8"/>
  <c r="Q164" i="8"/>
  <c r="M11" i="8"/>
  <c r="AF153" i="8"/>
  <c r="AL152" i="8"/>
  <c r="AD152" i="8"/>
  <c r="X153" i="8"/>
  <c r="AN59" i="8"/>
  <c r="V60" i="8"/>
  <c r="W60" i="8" s="1"/>
  <c r="P69" i="8"/>
  <c r="Q60" i="8"/>
  <c r="U164" i="8"/>
  <c r="T184" i="8"/>
  <c r="AL60" i="8"/>
  <c r="AM60" i="8" s="1"/>
  <c r="AM176" i="8"/>
  <c r="K61" i="8"/>
  <c r="J70" i="8"/>
  <c r="U13" i="8"/>
  <c r="T71" i="8"/>
  <c r="U19" i="8"/>
  <c r="U17" i="8"/>
  <c r="U7" i="8"/>
  <c r="U82" i="8"/>
  <c r="T179" i="8"/>
  <c r="U179" i="8" s="1"/>
  <c r="U8" i="8"/>
  <c r="U25" i="8"/>
  <c r="U80" i="8"/>
  <c r="U14" i="8"/>
  <c r="U21" i="8"/>
  <c r="U18" i="8"/>
  <c r="U9" i="8"/>
  <c r="U12" i="8"/>
  <c r="U10" i="8"/>
  <c r="U6" i="8"/>
  <c r="U22" i="8"/>
  <c r="U15" i="8"/>
  <c r="U23" i="8"/>
  <c r="U16" i="8"/>
  <c r="AA9" i="8"/>
  <c r="Z179" i="8"/>
  <c r="AA179" i="8" s="1"/>
  <c r="AA17" i="8"/>
  <c r="AA176" i="8"/>
  <c r="AA18" i="8"/>
  <c r="AA19" i="8"/>
  <c r="AA6" i="8"/>
  <c r="AA10" i="8"/>
  <c r="Z71" i="8"/>
  <c r="AA80" i="8"/>
  <c r="AA14" i="8"/>
  <c r="AA26" i="8"/>
  <c r="AA23" i="8"/>
  <c r="AA21" i="8"/>
  <c r="AA25" i="8"/>
  <c r="AA22" i="8"/>
  <c r="AA12" i="8"/>
  <c r="AA7" i="8"/>
  <c r="AA8" i="8"/>
  <c r="AA15" i="8"/>
  <c r="AA82" i="8"/>
  <c r="AA24" i="8"/>
  <c r="AA13" i="8"/>
  <c r="AH70" i="8"/>
  <c r="AI61" i="8"/>
  <c r="U11" i="8"/>
  <c r="W16" i="8"/>
  <c r="S27" i="8"/>
  <c r="W176" i="8"/>
  <c r="M10" i="8"/>
  <c r="M8" i="8"/>
  <c r="L179" i="8"/>
  <c r="M80" i="8"/>
  <c r="M19" i="8"/>
  <c r="M12" i="8"/>
  <c r="M16" i="8"/>
  <c r="M27" i="8" s="1"/>
  <c r="M13" i="8"/>
  <c r="M18" i="8"/>
  <c r="M25" i="8"/>
  <c r="M14" i="8"/>
  <c r="M21" i="8"/>
  <c r="M7" i="8"/>
  <c r="M15" i="8"/>
  <c r="L71" i="8"/>
  <c r="M68" i="8"/>
  <c r="M26" i="8"/>
  <c r="M17" i="8"/>
  <c r="M176" i="8"/>
  <c r="M9" i="8"/>
  <c r="M82" i="8"/>
  <c r="S164" i="8"/>
  <c r="R184" i="8"/>
  <c r="R181" i="8" s="1"/>
  <c r="R180" i="8" s="1"/>
  <c r="AG177" i="8"/>
  <c r="AF183" i="8"/>
  <c r="AL177" i="8"/>
  <c r="AM177" i="8" s="1"/>
  <c r="O23" i="8"/>
  <c r="AN23" i="8"/>
  <c r="AN24" i="8" s="1"/>
  <c r="AN27" i="8" s="1"/>
  <c r="AO68" i="8" s="1"/>
  <c r="L184" i="8"/>
  <c r="M164" i="8"/>
  <c r="T69" i="8"/>
  <c r="U69" i="8" s="1"/>
  <c r="U60" i="8"/>
  <c r="M23" i="8"/>
  <c r="AN6" i="8"/>
  <c r="M60" i="8"/>
  <c r="I10" i="8"/>
  <c r="N27" i="8"/>
  <c r="I19" i="8"/>
  <c r="I18" i="8"/>
  <c r="I23" i="8"/>
  <c r="I21" i="8"/>
  <c r="I15" i="8"/>
  <c r="I25" i="8"/>
  <c r="I8" i="8"/>
  <c r="I176" i="8"/>
  <c r="I17" i="8"/>
  <c r="I80" i="8"/>
  <c r="H179" i="8"/>
  <c r="I14" i="8"/>
  <c r="I13" i="8"/>
  <c r="I12" i="8"/>
  <c r="I9" i="8"/>
  <c r="I7" i="8"/>
  <c r="AC177" i="8"/>
  <c r="M177" i="8"/>
  <c r="AI27" i="8"/>
  <c r="Q15" i="8"/>
  <c r="Q7" i="8"/>
  <c r="Q13" i="8"/>
  <c r="Q21" i="8"/>
  <c r="Q9" i="8"/>
  <c r="Q176" i="8"/>
  <c r="Q10" i="8"/>
  <c r="Q24" i="8"/>
  <c r="Q80" i="8"/>
  <c r="Q26" i="8"/>
  <c r="Q8" i="8"/>
  <c r="Q25" i="8"/>
  <c r="Q18" i="8"/>
  <c r="Q12" i="8"/>
  <c r="V27" i="8"/>
  <c r="Q14" i="8"/>
  <c r="Q82" i="8"/>
  <c r="Q22" i="8"/>
  <c r="Q19" i="8"/>
  <c r="Q17" i="8"/>
  <c r="Q20" i="8"/>
  <c r="Q23" i="8"/>
  <c r="Q68" i="8"/>
  <c r="AJ184" i="8"/>
  <c r="AK164" i="8"/>
  <c r="Q16" i="8"/>
  <c r="R178" i="8"/>
  <c r="S178" i="8" s="1"/>
  <c r="X70" i="8"/>
  <c r="X71" i="8" s="1"/>
  <c r="AD61" i="8"/>
  <c r="AE61" i="8" s="1"/>
  <c r="Y61" i="8"/>
  <c r="AG69" i="8"/>
  <c r="AH184" i="8"/>
  <c r="AI164" i="8"/>
  <c r="AB178" i="8"/>
  <c r="AC178" i="8" s="1"/>
  <c r="AB182" i="8"/>
  <c r="AB181" i="8" s="1"/>
  <c r="AB180" i="8" s="1"/>
  <c r="AC70" i="8"/>
  <c r="M22" i="8"/>
  <c r="M24" i="8"/>
  <c r="N177" i="8"/>
  <c r="H185" i="8"/>
  <c r="I177" i="8"/>
  <c r="AM11" i="8"/>
  <c r="AM16" i="8"/>
  <c r="AM27" i="8" s="1"/>
  <c r="O176" i="8"/>
  <c r="AN176" i="8"/>
  <c r="AK27" i="8"/>
  <c r="AG13" i="8"/>
  <c r="AG25" i="8"/>
  <c r="AL27" i="8"/>
  <c r="AG12" i="8"/>
  <c r="AF71" i="8"/>
  <c r="AG16" i="8"/>
  <c r="AG80" i="8"/>
  <c r="AG7" i="8"/>
  <c r="AG19" i="8"/>
  <c r="AG21" i="8"/>
  <c r="AG14" i="8"/>
  <c r="AG23" i="8"/>
  <c r="AG82" i="8"/>
  <c r="AG15" i="8"/>
  <c r="AG9" i="8"/>
  <c r="AG8" i="8"/>
  <c r="AG17" i="8"/>
  <c r="AG26" i="8"/>
  <c r="AG68" i="8"/>
  <c r="AG18" i="8"/>
  <c r="AG10" i="8"/>
  <c r="AN144" i="8"/>
  <c r="M61" i="8"/>
  <c r="L70" i="8"/>
  <c r="AA16" i="8"/>
  <c r="N83" i="8"/>
  <c r="AN83" i="8" s="1"/>
  <c r="H164" i="8"/>
  <c r="AE176" i="8"/>
  <c r="AL61" i="8"/>
  <c r="AM61" i="8" s="1"/>
  <c r="AA60" i="8"/>
  <c r="N6" i="8"/>
  <c r="O6" i="8" s="1"/>
  <c r="I6" i="8"/>
  <c r="AD60" i="8"/>
  <c r="AE60" i="8" s="1"/>
  <c r="S21" i="8"/>
  <c r="S23" i="8"/>
  <c r="S14" i="8"/>
  <c r="S12" i="8"/>
  <c r="S13" i="8"/>
  <c r="R71" i="8"/>
  <c r="S8" i="8"/>
  <c r="S25" i="8"/>
  <c r="S80" i="8"/>
  <c r="S9" i="8"/>
  <c r="S10" i="8"/>
  <c r="S11" i="8"/>
  <c r="S18" i="8"/>
  <c r="R179" i="8"/>
  <c r="S179" i="8" s="1"/>
  <c r="S15" i="8"/>
  <c r="S17" i="8"/>
  <c r="S19" i="8"/>
  <c r="S7" i="8"/>
  <c r="S82" i="8"/>
  <c r="I24" i="8"/>
  <c r="W68" i="8"/>
  <c r="O22" i="8"/>
  <c r="I27" i="8"/>
  <c r="V177" i="8"/>
  <c r="W177" i="8" s="1"/>
  <c r="AJ70" i="8"/>
  <c r="AK61" i="8"/>
  <c r="M69" i="8"/>
  <c r="I69" i="8"/>
  <c r="N69" i="8"/>
  <c r="AC8" i="8"/>
  <c r="AC19" i="8"/>
  <c r="AC80" i="8"/>
  <c r="AC176" i="8"/>
  <c r="AB179" i="8"/>
  <c r="AC179" i="8" s="1"/>
  <c r="AC10" i="8"/>
  <c r="AB71" i="8"/>
  <c r="AC17" i="8"/>
  <c r="AC14" i="8"/>
  <c r="AC20" i="8"/>
  <c r="AC9" i="8"/>
  <c r="AC22" i="8"/>
  <c r="AC18" i="8"/>
  <c r="AC12" i="8"/>
  <c r="AC23" i="8"/>
  <c r="AC13" i="8"/>
  <c r="AC16" i="8"/>
  <c r="AC7" i="8"/>
  <c r="AC82" i="8"/>
  <c r="AC15" i="8"/>
  <c r="AC25" i="8"/>
  <c r="AC24" i="8"/>
  <c r="AC21" i="8"/>
  <c r="AH183" i="8"/>
  <c r="AI177" i="8"/>
  <c r="N143" i="8"/>
  <c r="AN143" i="8" s="1"/>
  <c r="J71" i="8"/>
  <c r="K9" i="8"/>
  <c r="J179" i="8"/>
  <c r="K80" i="8"/>
  <c r="K26" i="8"/>
  <c r="K25" i="8"/>
  <c r="K16" i="8"/>
  <c r="K27" i="8" s="1"/>
  <c r="K8" i="8"/>
  <c r="K19" i="8"/>
  <c r="K12" i="8"/>
  <c r="K23" i="8"/>
  <c r="K6" i="8"/>
  <c r="K18" i="8"/>
  <c r="K10" i="8"/>
  <c r="K14" i="8"/>
  <c r="K13" i="8"/>
  <c r="K17" i="8"/>
  <c r="K20" i="8"/>
  <c r="K15" i="8"/>
  <c r="K21" i="8"/>
  <c r="K7" i="8"/>
  <c r="AG61" i="8"/>
  <c r="W11" i="8"/>
  <c r="K177" i="8"/>
  <c r="J185" i="8"/>
  <c r="Q11" i="8"/>
  <c r="I82" i="8"/>
  <c r="X183" i="8"/>
  <c r="AD177" i="8"/>
  <c r="AE177" i="8" s="1"/>
  <c r="Y177" i="8"/>
  <c r="Y69" i="8"/>
  <c r="I68" i="8"/>
  <c r="AG70" i="8"/>
  <c r="AL70" i="8"/>
  <c r="AM70" i="8" s="1"/>
  <c r="AF182" i="8"/>
  <c r="AA11" i="8"/>
  <c r="AN55" i="8"/>
  <c r="U20" i="8"/>
  <c r="AN152" i="8"/>
  <c r="AC26" i="8"/>
  <c r="Z178" i="8"/>
  <c r="AA178" i="8" s="1"/>
  <c r="Z182" i="8"/>
  <c r="Z181" i="8" s="1"/>
  <c r="Z180" i="8" s="1"/>
  <c r="AA70" i="8"/>
  <c r="Y10" i="8"/>
  <c r="Y18" i="8"/>
  <c r="AD27" i="8"/>
  <c r="AE16" i="8" s="1"/>
  <c r="Y15" i="8"/>
  <c r="Y80" i="8"/>
  <c r="Y13" i="8"/>
  <c r="Y68" i="8"/>
  <c r="Y19" i="8"/>
  <c r="Y9" i="8"/>
  <c r="Y25" i="8"/>
  <c r="Y21" i="8"/>
  <c r="Y16" i="8"/>
  <c r="Y24" i="8"/>
  <c r="Y8" i="8"/>
  <c r="Y12" i="8"/>
  <c r="Y6" i="8"/>
  <c r="Y7" i="8"/>
  <c r="Y17" i="8"/>
  <c r="Y23" i="8"/>
  <c r="Y82" i="8"/>
  <c r="Y11" i="8"/>
  <c r="Y14" i="8"/>
  <c r="I26" i="8"/>
  <c r="AA177" i="8"/>
  <c r="N51" i="1"/>
  <c r="AN51" i="1" s="1"/>
  <c r="N139" i="1"/>
  <c r="AN139" i="1" s="1"/>
  <c r="N140" i="1"/>
  <c r="AN140" i="1" s="1"/>
  <c r="N141" i="1"/>
  <c r="AN141" i="1" s="1"/>
  <c r="N115" i="1"/>
  <c r="AN115" i="1" s="1"/>
  <c r="N114" i="1"/>
  <c r="AN114" i="1" s="1"/>
  <c r="D43" i="7"/>
  <c r="D38" i="7"/>
  <c r="D53" i="7"/>
  <c r="D47" i="7"/>
  <c r="D46" i="7"/>
  <c r="D35" i="7"/>
  <c r="D34" i="7"/>
  <c r="D33" i="7"/>
  <c r="D32" i="7"/>
  <c r="D27" i="7"/>
  <c r="D22" i="7"/>
  <c r="D19" i="7"/>
  <c r="D17" i="7"/>
  <c r="D11" i="7"/>
  <c r="D10" i="7"/>
  <c r="D6" i="7"/>
  <c r="D5" i="7"/>
  <c r="I71" i="8" l="1"/>
  <c r="H165" i="8"/>
  <c r="N71" i="8"/>
  <c r="V71" i="8"/>
  <c r="W71" i="8" s="1"/>
  <c r="P165" i="8"/>
  <c r="Q71" i="8"/>
  <c r="AD71" i="8"/>
  <c r="AE71" i="8" s="1"/>
  <c r="Y71" i="8"/>
  <c r="Q27" i="8"/>
  <c r="T181" i="8"/>
  <c r="T180" i="8" s="1"/>
  <c r="AD153" i="8"/>
  <c r="AN153" i="8" s="1"/>
  <c r="X164" i="8"/>
  <c r="Y27" i="8"/>
  <c r="AA27" i="8"/>
  <c r="L182" i="8"/>
  <c r="L181" i="8" s="1"/>
  <c r="L180" i="8" s="1"/>
  <c r="L178" i="8"/>
  <c r="M70" i="8"/>
  <c r="AG27" i="8"/>
  <c r="W164" i="8"/>
  <c r="N179" i="8"/>
  <c r="H187" i="8"/>
  <c r="I187" i="8" s="1"/>
  <c r="I179" i="8"/>
  <c r="AO176" i="8"/>
  <c r="Q69" i="8"/>
  <c r="V69" i="8"/>
  <c r="W69" i="8" s="1"/>
  <c r="AA71" i="8"/>
  <c r="Z165" i="8"/>
  <c r="AA165" i="8" s="1"/>
  <c r="AN177" i="8"/>
  <c r="AO177" i="8" s="1"/>
  <c r="O177" i="8"/>
  <c r="O25" i="8"/>
  <c r="O9" i="8"/>
  <c r="O7" i="8"/>
  <c r="O15" i="8"/>
  <c r="O21" i="8"/>
  <c r="O11" i="8"/>
  <c r="O80" i="8"/>
  <c r="O10" i="8"/>
  <c r="O68" i="8"/>
  <c r="O82" i="8"/>
  <c r="O8" i="8"/>
  <c r="O26" i="8"/>
  <c r="O12" i="8"/>
  <c r="O19" i="8"/>
  <c r="O16" i="8"/>
  <c r="O14" i="8"/>
  <c r="O18" i="8"/>
  <c r="O13" i="8"/>
  <c r="O17" i="8"/>
  <c r="AL153" i="8"/>
  <c r="AF164" i="8"/>
  <c r="AN61" i="8"/>
  <c r="AO61" i="8" s="1"/>
  <c r="O61" i="8"/>
  <c r="P182" i="8"/>
  <c r="P181" i="8" s="1"/>
  <c r="P180" i="8" s="1"/>
  <c r="P178" i="8"/>
  <c r="V70" i="8"/>
  <c r="W70" i="8" s="1"/>
  <c r="Q70" i="8"/>
  <c r="AE11" i="8"/>
  <c r="AE27" i="8" s="1"/>
  <c r="N70" i="8"/>
  <c r="I70" i="8"/>
  <c r="AE68" i="8"/>
  <c r="AB165" i="8"/>
  <c r="AC165" i="8" s="1"/>
  <c r="AC71" i="8"/>
  <c r="L165" i="8"/>
  <c r="M165" i="8" s="1"/>
  <c r="M71" i="8"/>
  <c r="O69" i="8"/>
  <c r="O24" i="8"/>
  <c r="AG71" i="8"/>
  <c r="AL71" i="8"/>
  <c r="AM71" i="8" s="1"/>
  <c r="AF165" i="8"/>
  <c r="W18" i="8"/>
  <c r="W12" i="8"/>
  <c r="W8" i="8"/>
  <c r="W25" i="8"/>
  <c r="W7" i="8"/>
  <c r="W15" i="8"/>
  <c r="W82" i="8"/>
  <c r="AM80" i="8"/>
  <c r="W21" i="8"/>
  <c r="W10" i="8"/>
  <c r="AE80" i="8"/>
  <c r="W6" i="8"/>
  <c r="W14" i="8"/>
  <c r="W80" i="8"/>
  <c r="W4" i="8"/>
  <c r="AE82" i="8"/>
  <c r="W19" i="8"/>
  <c r="AM82" i="8"/>
  <c r="W17" i="8"/>
  <c r="W9" i="8"/>
  <c r="W5" i="8"/>
  <c r="W13" i="8"/>
  <c r="W23" i="8"/>
  <c r="U71" i="8"/>
  <c r="T165" i="8"/>
  <c r="U165" i="8" s="1"/>
  <c r="AD69" i="8"/>
  <c r="AE69" i="8" s="1"/>
  <c r="AC27" i="8"/>
  <c r="S71" i="8"/>
  <c r="R165" i="8"/>
  <c r="S165" i="8" s="1"/>
  <c r="O20" i="8"/>
  <c r="U27" i="8"/>
  <c r="W61" i="8"/>
  <c r="AE25" i="8"/>
  <c r="AE7" i="8"/>
  <c r="AE19" i="8"/>
  <c r="AE15" i="8"/>
  <c r="AE18" i="8"/>
  <c r="AE17" i="8"/>
  <c r="AE12" i="8"/>
  <c r="AE6" i="8"/>
  <c r="AE8" i="8"/>
  <c r="AE21" i="8"/>
  <c r="AE10" i="8"/>
  <c r="AE23" i="8"/>
  <c r="AE9" i="8"/>
  <c r="AE14" i="8"/>
  <c r="AE4" i="8"/>
  <c r="AE5" i="8"/>
  <c r="AE13" i="8"/>
  <c r="AD70" i="8"/>
  <c r="AE70" i="8" s="1"/>
  <c r="X182" i="8"/>
  <c r="Y70" i="8"/>
  <c r="K179" i="8"/>
  <c r="J187" i="8"/>
  <c r="K187" i="8" s="1"/>
  <c r="M179" i="8"/>
  <c r="L187" i="8"/>
  <c r="M187" i="8" s="1"/>
  <c r="J165" i="8"/>
  <c r="K165" i="8" s="1"/>
  <c r="K71" i="8"/>
  <c r="W27" i="8"/>
  <c r="I164" i="8"/>
  <c r="N164" i="8"/>
  <c r="P179" i="8"/>
  <c r="AH182" i="8"/>
  <c r="AH181" i="8" s="1"/>
  <c r="AH180" i="8" s="1"/>
  <c r="AH178" i="8"/>
  <c r="AI178" i="8" s="1"/>
  <c r="AI70" i="8"/>
  <c r="AH71" i="8"/>
  <c r="AH179" i="8"/>
  <c r="AI179" i="8" s="1"/>
  <c r="AN60" i="8"/>
  <c r="AO60" i="8" s="1"/>
  <c r="O60" i="8"/>
  <c r="AJ182" i="8"/>
  <c r="AJ181" i="8" s="1"/>
  <c r="AJ180" i="8" s="1"/>
  <c r="AK70" i="8"/>
  <c r="AJ178" i="8"/>
  <c r="AK178" i="8" s="1"/>
  <c r="AJ179" i="8"/>
  <c r="AK179" i="8" s="1"/>
  <c r="AJ71" i="8"/>
  <c r="AM21" i="8"/>
  <c r="AM13" i="8"/>
  <c r="AM12" i="8"/>
  <c r="AM18" i="8"/>
  <c r="AM7" i="8"/>
  <c r="AM15" i="8"/>
  <c r="AM6" i="8"/>
  <c r="AM19" i="8"/>
  <c r="AM10" i="8"/>
  <c r="AM8" i="8"/>
  <c r="AM14" i="8"/>
  <c r="AM4" i="8"/>
  <c r="AM5" i="8"/>
  <c r="AM17" i="8"/>
  <c r="AM25" i="8"/>
  <c r="AM68" i="8"/>
  <c r="AM9" i="8"/>
  <c r="AM23" i="8"/>
  <c r="AL69" i="8"/>
  <c r="AM69" i="8" s="1"/>
  <c r="J178" i="8"/>
  <c r="K70" i="8"/>
  <c r="N185" i="8" l="1"/>
  <c r="O164" i="8"/>
  <c r="AD164" i="8"/>
  <c r="AE164" i="8" s="1"/>
  <c r="X184" i="8"/>
  <c r="Y164" i="8"/>
  <c r="X179" i="8"/>
  <c r="J186" i="8"/>
  <c r="K178" i="8"/>
  <c r="AN69" i="8"/>
  <c r="AO69" i="8" s="1"/>
  <c r="V179" i="8"/>
  <c r="W179" i="8" s="1"/>
  <c r="Q179" i="8"/>
  <c r="X165" i="8"/>
  <c r="M178" i="8"/>
  <c r="L186" i="8"/>
  <c r="Q178" i="8"/>
  <c r="V178" i="8"/>
  <c r="W178" i="8" s="1"/>
  <c r="AL165" i="8"/>
  <c r="AM165" i="8" s="1"/>
  <c r="AG165" i="8"/>
  <c r="AL164" i="8"/>
  <c r="AM164" i="8" s="1"/>
  <c r="AF184" i="8"/>
  <c r="AF181" i="8" s="1"/>
  <c r="AF180" i="8" s="1"/>
  <c r="AG164" i="8"/>
  <c r="AF179" i="8"/>
  <c r="AF178" i="8"/>
  <c r="AJ165" i="8"/>
  <c r="AK165" i="8" s="1"/>
  <c r="AK71" i="8"/>
  <c r="O27" i="8"/>
  <c r="Q165" i="8"/>
  <c r="V165" i="8"/>
  <c r="W165" i="8" s="1"/>
  <c r="X181" i="8"/>
  <c r="X180" i="8" s="1"/>
  <c r="N187" i="8"/>
  <c r="O187" i="8" s="1"/>
  <c r="O179" i="8"/>
  <c r="AN70" i="8"/>
  <c r="AO70" i="8" s="1"/>
  <c r="O70" i="8"/>
  <c r="N165" i="8"/>
  <c r="I165" i="8"/>
  <c r="X178" i="8"/>
  <c r="AN71" i="8"/>
  <c r="AO71" i="8" s="1"/>
  <c r="O71" i="8"/>
  <c r="AH165" i="8"/>
  <c r="AI165" i="8" s="1"/>
  <c r="AI71" i="8"/>
  <c r="N178" i="8"/>
  <c r="H186" i="8"/>
  <c r="I178" i="8"/>
  <c r="N45" i="1"/>
  <c r="AN45" i="1" s="1"/>
  <c r="O165" i="8" l="1"/>
  <c r="Y165" i="8"/>
  <c r="AD165" i="8"/>
  <c r="AE165" i="8" s="1"/>
  <c r="AG179" i="8"/>
  <c r="AL179" i="8"/>
  <c r="AM179" i="8" s="1"/>
  <c r="AN164" i="8"/>
  <c r="Y178" i="8"/>
  <c r="AD178" i="8"/>
  <c r="AE178" i="8" s="1"/>
  <c r="Y179" i="8"/>
  <c r="AD179" i="8"/>
  <c r="AE179" i="8" s="1"/>
  <c r="AL178" i="8"/>
  <c r="AM178" i="8" s="1"/>
  <c r="AG178" i="8"/>
  <c r="AN178" i="8"/>
  <c r="N186" i="8"/>
  <c r="O178" i="8"/>
  <c r="N56" i="1"/>
  <c r="AN56" i="1" s="1"/>
  <c r="L23" i="1"/>
  <c r="L24" i="1" s="1"/>
  <c r="L11" i="1"/>
  <c r="L16" i="1"/>
  <c r="L20" i="1"/>
  <c r="L22" i="1"/>
  <c r="L26" i="1"/>
  <c r="L5" i="1"/>
  <c r="L4" i="1"/>
  <c r="T17" i="4"/>
  <c r="T16" i="4"/>
  <c r="T15" i="4"/>
  <c r="T13" i="4"/>
  <c r="T12" i="4"/>
  <c r="T9" i="4"/>
  <c r="T8" i="4"/>
  <c r="T7" i="4"/>
  <c r="T10" i="4" s="1"/>
  <c r="T5" i="4"/>
  <c r="T4" i="4"/>
  <c r="T6" i="4" s="1"/>
  <c r="T11" i="4" s="1"/>
  <c r="P4" i="1" s="1"/>
  <c r="AH12" i="5"/>
  <c r="AH22" i="5"/>
  <c r="AL170" i="1"/>
  <c r="AD170" i="1"/>
  <c r="V170" i="1"/>
  <c r="N170" i="1"/>
  <c r="T18" i="4" l="1"/>
  <c r="T14" i="4"/>
  <c r="AN179" i="8"/>
  <c r="AN165" i="8"/>
  <c r="AO165" i="8" s="1"/>
  <c r="AN186" i="8"/>
  <c r="AO178" i="8"/>
  <c r="AN185" i="8"/>
  <c r="AO164" i="8"/>
  <c r="AN170" i="1"/>
  <c r="L27" i="1"/>
  <c r="AJ54" i="1"/>
  <c r="AH54" i="1"/>
  <c r="AF54" i="1"/>
  <c r="AB54" i="1"/>
  <c r="Z54" i="1"/>
  <c r="X54" i="1"/>
  <c r="T54" i="1"/>
  <c r="R54" i="1"/>
  <c r="L54" i="1"/>
  <c r="J54" i="1"/>
  <c r="T19" i="4" l="1"/>
  <c r="P5" i="1" s="1"/>
  <c r="M78" i="1"/>
  <c r="V54" i="1"/>
  <c r="AN187" i="8"/>
  <c r="AO187" i="8" s="1"/>
  <c r="AO179" i="8"/>
  <c r="AD54" i="1"/>
  <c r="AL54" i="1"/>
  <c r="N54" i="1"/>
  <c r="T20" i="4" l="1"/>
  <c r="AN54" i="1"/>
  <c r="H186" i="1"/>
  <c r="J205" i="1" l="1"/>
  <c r="J177" i="1"/>
  <c r="N205" i="1" l="1"/>
  <c r="AN205" i="1" s="1"/>
  <c r="J213" i="1"/>
  <c r="AN204" i="1"/>
  <c r="H190" i="1" l="1"/>
  <c r="J176" i="1" l="1"/>
  <c r="H176" i="1"/>
  <c r="H187" i="1" s="1"/>
  <c r="AL149" i="1"/>
  <c r="AD149" i="1"/>
  <c r="V149" i="1"/>
  <c r="N149" i="1"/>
  <c r="AL138" i="1"/>
  <c r="AD138" i="1"/>
  <c r="V138" i="1"/>
  <c r="N138" i="1"/>
  <c r="N145" i="1"/>
  <c r="J127" i="1"/>
  <c r="AL112" i="1"/>
  <c r="AL113" i="1"/>
  <c r="AD112" i="1"/>
  <c r="AD113" i="1"/>
  <c r="V112" i="1"/>
  <c r="V113" i="1"/>
  <c r="N113" i="1"/>
  <c r="N112" i="1"/>
  <c r="AL101" i="1"/>
  <c r="AD101" i="1"/>
  <c r="V101" i="1"/>
  <c r="N101" i="1"/>
  <c r="J91" i="1"/>
  <c r="H91" i="1"/>
  <c r="N91" i="1" s="1"/>
  <c r="H195" i="1" l="1"/>
  <c r="AN149" i="1"/>
  <c r="AN112" i="1"/>
  <c r="AN113" i="1"/>
  <c r="AN138" i="1"/>
  <c r="AN101" i="1"/>
  <c r="AL167" i="1"/>
  <c r="AL168" i="1"/>
  <c r="AD168" i="1"/>
  <c r="V168" i="1"/>
  <c r="N168" i="1"/>
  <c r="AN168" i="1" l="1"/>
  <c r="AJ186" i="1" l="1"/>
  <c r="AJ187" i="1" s="1"/>
  <c r="AJ195" i="1" s="1"/>
  <c r="AH186" i="1"/>
  <c r="AH187" i="1" s="1"/>
  <c r="AH195" i="1" s="1"/>
  <c r="AF186" i="1"/>
  <c r="AF187" i="1" s="1"/>
  <c r="AF195" i="1" s="1"/>
  <c r="AB186" i="1"/>
  <c r="AB187" i="1" s="1"/>
  <c r="AB195" i="1" s="1"/>
  <c r="Z186" i="1"/>
  <c r="Z187" i="1" s="1"/>
  <c r="Z195" i="1" s="1"/>
  <c r="X186" i="1"/>
  <c r="X187" i="1" s="1"/>
  <c r="X195" i="1" s="1"/>
  <c r="T186" i="1"/>
  <c r="T187" i="1" s="1"/>
  <c r="T195" i="1" s="1"/>
  <c r="R186" i="1"/>
  <c r="R187" i="1" s="1"/>
  <c r="R195" i="1" s="1"/>
  <c r="P186" i="1"/>
  <c r="L186" i="1"/>
  <c r="J186" i="1"/>
  <c r="AL163" i="1"/>
  <c r="AL164" i="1"/>
  <c r="AL165" i="1"/>
  <c r="AL166" i="1"/>
  <c r="AL169" i="1"/>
  <c r="AL172" i="1"/>
  <c r="AD163" i="1"/>
  <c r="AD164" i="1"/>
  <c r="AD165" i="1"/>
  <c r="AD166" i="1"/>
  <c r="AD167" i="1"/>
  <c r="AD169" i="1"/>
  <c r="V163" i="1"/>
  <c r="V164" i="1"/>
  <c r="V165" i="1"/>
  <c r="V166" i="1"/>
  <c r="V167" i="1"/>
  <c r="V169" i="1"/>
  <c r="N163" i="1"/>
  <c r="N164" i="1"/>
  <c r="N165" i="1"/>
  <c r="N166" i="1"/>
  <c r="N167" i="1"/>
  <c r="N169" i="1"/>
  <c r="P187" i="1" l="1"/>
  <c r="P195" i="1" s="1"/>
  <c r="M186" i="1"/>
  <c r="L187" i="1"/>
  <c r="J187" i="1"/>
  <c r="J195" i="1" s="1"/>
  <c r="AL187" i="1"/>
  <c r="AN166" i="1"/>
  <c r="AN167" i="1"/>
  <c r="AN169" i="1"/>
  <c r="AN163" i="1"/>
  <c r="AN164" i="1"/>
  <c r="AN165" i="1"/>
  <c r="N78" i="1"/>
  <c r="H146" i="1"/>
  <c r="N53" i="1"/>
  <c r="N58" i="1"/>
  <c r="V25" i="1"/>
  <c r="V23" i="1"/>
  <c r="V21" i="1"/>
  <c r="V19" i="1"/>
  <c r="V18" i="1"/>
  <c r="V17" i="1"/>
  <c r="V15" i="1"/>
  <c r="V14" i="1"/>
  <c r="V13" i="1"/>
  <c r="V12" i="1"/>
  <c r="V10" i="1"/>
  <c r="V9" i="1"/>
  <c r="V8" i="1"/>
  <c r="V7" i="1"/>
  <c r="V5" i="1"/>
  <c r="V4" i="1"/>
  <c r="N25" i="1"/>
  <c r="N23" i="1"/>
  <c r="N21" i="1"/>
  <c r="N19" i="1"/>
  <c r="N18" i="1"/>
  <c r="N17" i="1"/>
  <c r="N15" i="1"/>
  <c r="N14" i="1"/>
  <c r="N13" i="1"/>
  <c r="N12" i="1"/>
  <c r="N10" i="1"/>
  <c r="N9" i="1"/>
  <c r="N8" i="1"/>
  <c r="N7" i="1"/>
  <c r="AL25" i="1"/>
  <c r="AL23" i="1"/>
  <c r="AL21" i="1"/>
  <c r="AL19" i="1"/>
  <c r="AL18" i="1"/>
  <c r="AL17" i="1"/>
  <c r="AL15" i="1"/>
  <c r="AL14" i="1"/>
  <c r="AL13" i="1"/>
  <c r="AL12" i="1"/>
  <c r="AL10" i="1"/>
  <c r="AL9" i="1"/>
  <c r="AL8" i="1"/>
  <c r="AL7" i="1"/>
  <c r="AL5" i="1"/>
  <c r="AL4" i="1"/>
  <c r="AD25" i="1"/>
  <c r="AD23" i="1"/>
  <c r="AD21" i="1"/>
  <c r="AD19" i="1"/>
  <c r="AD18" i="1"/>
  <c r="AD17" i="1"/>
  <c r="AD15" i="1"/>
  <c r="AD14" i="1"/>
  <c r="AD13" i="1"/>
  <c r="AD12" i="1"/>
  <c r="AD10" i="1"/>
  <c r="AD9" i="1"/>
  <c r="AD8" i="1"/>
  <c r="AD7" i="1"/>
  <c r="AD5" i="1"/>
  <c r="AD4" i="1"/>
  <c r="AL81" i="1"/>
  <c r="AL77" i="1"/>
  <c r="AL74" i="1"/>
  <c r="AL73" i="1"/>
  <c r="AL72" i="1"/>
  <c r="AL71" i="1"/>
  <c r="AL70" i="1"/>
  <c r="AD77" i="1"/>
  <c r="AD74" i="1"/>
  <c r="AD73" i="1"/>
  <c r="AD72" i="1"/>
  <c r="AD71" i="1"/>
  <c r="AD70" i="1"/>
  <c r="V77" i="1"/>
  <c r="V74" i="1"/>
  <c r="V73" i="1"/>
  <c r="V72" i="1"/>
  <c r="V71" i="1"/>
  <c r="V70" i="1"/>
  <c r="N77" i="1"/>
  <c r="N74" i="1"/>
  <c r="N73" i="1"/>
  <c r="N72" i="1"/>
  <c r="N71" i="1"/>
  <c r="N70" i="1"/>
  <c r="AJ162" i="1"/>
  <c r="AH162" i="1"/>
  <c r="AF162" i="1"/>
  <c r="AB162" i="1"/>
  <c r="Z162" i="1"/>
  <c r="X162" i="1"/>
  <c r="T162" i="1"/>
  <c r="R162" i="1"/>
  <c r="P162" i="1"/>
  <c r="L162" i="1"/>
  <c r="J162" i="1"/>
  <c r="H162" i="1"/>
  <c r="AJ160" i="1"/>
  <c r="AH160" i="1"/>
  <c r="AF160" i="1"/>
  <c r="AB160" i="1"/>
  <c r="Z160" i="1"/>
  <c r="X160" i="1"/>
  <c r="T160" i="1"/>
  <c r="R160" i="1"/>
  <c r="P160" i="1"/>
  <c r="L160" i="1"/>
  <c r="J160" i="1"/>
  <c r="H160" i="1"/>
  <c r="AB158" i="1"/>
  <c r="AJ158" i="1"/>
  <c r="AH158" i="1"/>
  <c r="AF158" i="1"/>
  <c r="Z158" i="1"/>
  <c r="X158" i="1"/>
  <c r="T158" i="1"/>
  <c r="R158" i="1"/>
  <c r="P158" i="1"/>
  <c r="L158" i="1"/>
  <c r="J158" i="1"/>
  <c r="H158" i="1"/>
  <c r="AJ146" i="1"/>
  <c r="AH146" i="1"/>
  <c r="AF146" i="1"/>
  <c r="AB146" i="1"/>
  <c r="Z146" i="1"/>
  <c r="X146" i="1"/>
  <c r="T146" i="1"/>
  <c r="P146" i="1"/>
  <c r="J146" i="1"/>
  <c r="AJ122" i="1"/>
  <c r="AH122" i="1"/>
  <c r="AF122" i="1"/>
  <c r="AB122" i="1"/>
  <c r="Z122" i="1"/>
  <c r="X122" i="1"/>
  <c r="T122" i="1"/>
  <c r="R122" i="1"/>
  <c r="P122" i="1"/>
  <c r="J122" i="1"/>
  <c r="H122" i="1"/>
  <c r="H99" i="1"/>
  <c r="J99" i="1"/>
  <c r="P99" i="1"/>
  <c r="R99" i="1"/>
  <c r="T99" i="1"/>
  <c r="X99" i="1"/>
  <c r="Z99" i="1"/>
  <c r="AB99" i="1"/>
  <c r="AF99" i="1"/>
  <c r="AH99" i="1"/>
  <c r="AJ99" i="1"/>
  <c r="AJ92" i="1"/>
  <c r="AH92" i="1"/>
  <c r="AF92" i="1"/>
  <c r="X92" i="1"/>
  <c r="Z92" i="1"/>
  <c r="AB92" i="1"/>
  <c r="T92" i="1"/>
  <c r="R92" i="1"/>
  <c r="P92" i="1"/>
  <c r="L92" i="1"/>
  <c r="J92" i="1"/>
  <c r="H92" i="1"/>
  <c r="AJ90" i="1"/>
  <c r="AH90" i="1"/>
  <c r="AF90" i="1"/>
  <c r="AB90" i="1"/>
  <c r="Z90" i="1"/>
  <c r="X90" i="1"/>
  <c r="T90" i="1"/>
  <c r="R90" i="1"/>
  <c r="P90" i="1"/>
  <c r="J90" i="1"/>
  <c r="H90" i="1"/>
  <c r="AJ83" i="1"/>
  <c r="AH83" i="1"/>
  <c r="AF83" i="1"/>
  <c r="AB83" i="1"/>
  <c r="Z83" i="1"/>
  <c r="X83" i="1"/>
  <c r="T83" i="1"/>
  <c r="R83" i="1"/>
  <c r="P83" i="1"/>
  <c r="L83" i="1"/>
  <c r="J83" i="1"/>
  <c r="AL184" i="1"/>
  <c r="AL183" i="1"/>
  <c r="AL182" i="1"/>
  <c r="AL181" i="1"/>
  <c r="AL180" i="1"/>
  <c r="AL179" i="1"/>
  <c r="AL178" i="1"/>
  <c r="AL161" i="1"/>
  <c r="AL159" i="1"/>
  <c r="AL157" i="1"/>
  <c r="AL156" i="1"/>
  <c r="AL58" i="1"/>
  <c r="AL154" i="1"/>
  <c r="AL153" i="1"/>
  <c r="AL152" i="1"/>
  <c r="AL148" i="1"/>
  <c r="AL147" i="1"/>
  <c r="AL145" i="1"/>
  <c r="AL137" i="1"/>
  <c r="AL136" i="1"/>
  <c r="AL135" i="1"/>
  <c r="AL134" i="1"/>
  <c r="AL133" i="1"/>
  <c r="AL132" i="1"/>
  <c r="AL131" i="1"/>
  <c r="AL130" i="1"/>
  <c r="AL129" i="1"/>
  <c r="AL128" i="1"/>
  <c r="AL127" i="1"/>
  <c r="AL67" i="1"/>
  <c r="AL66" i="1"/>
  <c r="AL121" i="1"/>
  <c r="AL120" i="1"/>
  <c r="AL111" i="1"/>
  <c r="AL110" i="1"/>
  <c r="AL109" i="1"/>
  <c r="AL106" i="1"/>
  <c r="AL102" i="1"/>
  <c r="AL100" i="1"/>
  <c r="AL105" i="1"/>
  <c r="AL104" i="1"/>
  <c r="AL65" i="1"/>
  <c r="AL98" i="1"/>
  <c r="AL97" i="1"/>
  <c r="AL96" i="1"/>
  <c r="AL95" i="1"/>
  <c r="AL94" i="1"/>
  <c r="AL93" i="1"/>
  <c r="AL91" i="1"/>
  <c r="AL89" i="1"/>
  <c r="AL88" i="1"/>
  <c r="AL87" i="1"/>
  <c r="AL84" i="1"/>
  <c r="AL64" i="1"/>
  <c r="AL82" i="1"/>
  <c r="AD185" i="1"/>
  <c r="AD184" i="1"/>
  <c r="AD183" i="1"/>
  <c r="AD182" i="1"/>
  <c r="AD181" i="1"/>
  <c r="AD180" i="1"/>
  <c r="AD179" i="1"/>
  <c r="AD178" i="1"/>
  <c r="AD172" i="1"/>
  <c r="AD161" i="1"/>
  <c r="AD159" i="1"/>
  <c r="AD157" i="1"/>
  <c r="AD156" i="1"/>
  <c r="AD58" i="1"/>
  <c r="AD154" i="1"/>
  <c r="AD153" i="1"/>
  <c r="AD152" i="1"/>
  <c r="AD148" i="1"/>
  <c r="AD147" i="1"/>
  <c r="AD145" i="1"/>
  <c r="AD137" i="1"/>
  <c r="AD136" i="1"/>
  <c r="AD135" i="1"/>
  <c r="AD134" i="1"/>
  <c r="AD133" i="1"/>
  <c r="AD132" i="1"/>
  <c r="AD131" i="1"/>
  <c r="AD130" i="1"/>
  <c r="AD129" i="1"/>
  <c r="AD128" i="1"/>
  <c r="AD127" i="1"/>
  <c r="AD67" i="1"/>
  <c r="AD66" i="1"/>
  <c r="AD121" i="1"/>
  <c r="AD120" i="1"/>
  <c r="AD111" i="1"/>
  <c r="AD110" i="1"/>
  <c r="AD109" i="1"/>
  <c r="AD106" i="1"/>
  <c r="AD102" i="1"/>
  <c r="AD100" i="1"/>
  <c r="AD105" i="1"/>
  <c r="AD104" i="1"/>
  <c r="AD65" i="1"/>
  <c r="AD98" i="1"/>
  <c r="AD97" i="1"/>
  <c r="AD96" i="1"/>
  <c r="AD95" i="1"/>
  <c r="AD94" i="1"/>
  <c r="AD93" i="1"/>
  <c r="AD91" i="1"/>
  <c r="AD89" i="1"/>
  <c r="AD88" i="1"/>
  <c r="AD87" i="1"/>
  <c r="AD84" i="1"/>
  <c r="AD64" i="1"/>
  <c r="AD82" i="1"/>
  <c r="AD81" i="1"/>
  <c r="V185" i="1"/>
  <c r="V184" i="1"/>
  <c r="V183" i="1"/>
  <c r="V182" i="1"/>
  <c r="V181" i="1"/>
  <c r="V180" i="1"/>
  <c r="V179" i="1"/>
  <c r="V178" i="1"/>
  <c r="V172" i="1"/>
  <c r="V161" i="1"/>
  <c r="V159" i="1"/>
  <c r="V157" i="1"/>
  <c r="V156" i="1"/>
  <c r="V58" i="1"/>
  <c r="V154" i="1"/>
  <c r="V153" i="1"/>
  <c r="V152" i="1"/>
  <c r="V150" i="1"/>
  <c r="V148" i="1"/>
  <c r="V147" i="1"/>
  <c r="V145" i="1"/>
  <c r="V137" i="1"/>
  <c r="V136" i="1"/>
  <c r="V135" i="1"/>
  <c r="V134" i="1"/>
  <c r="V133" i="1"/>
  <c r="V132" i="1"/>
  <c r="V131" i="1"/>
  <c r="V130" i="1"/>
  <c r="V129" i="1"/>
  <c r="V128" i="1"/>
  <c r="V127" i="1"/>
  <c r="V67" i="1"/>
  <c r="V66" i="1"/>
  <c r="V121" i="1"/>
  <c r="V120" i="1"/>
  <c r="V111" i="1"/>
  <c r="V110" i="1"/>
  <c r="V109" i="1"/>
  <c r="V106" i="1"/>
  <c r="V102" i="1"/>
  <c r="V100" i="1"/>
  <c r="V105" i="1"/>
  <c r="V104" i="1"/>
  <c r="V65" i="1"/>
  <c r="V98" i="1"/>
  <c r="V97" i="1"/>
  <c r="V96" i="1"/>
  <c r="V95" i="1"/>
  <c r="V94" i="1"/>
  <c r="V93" i="1"/>
  <c r="V91" i="1"/>
  <c r="V89" i="1"/>
  <c r="V88" i="1"/>
  <c r="V87" i="1"/>
  <c r="V84" i="1"/>
  <c r="V64" i="1"/>
  <c r="V82" i="1"/>
  <c r="V81" i="1"/>
  <c r="N183" i="1"/>
  <c r="N182" i="1"/>
  <c r="N181" i="1"/>
  <c r="N180" i="1"/>
  <c r="N179" i="1"/>
  <c r="N178" i="1"/>
  <c r="N161" i="1"/>
  <c r="N159" i="1"/>
  <c r="N157" i="1"/>
  <c r="N156" i="1"/>
  <c r="N154" i="1"/>
  <c r="N153" i="1"/>
  <c r="N152" i="1"/>
  <c r="N150" i="1"/>
  <c r="N148" i="1"/>
  <c r="N147" i="1"/>
  <c r="N137" i="1"/>
  <c r="N136" i="1"/>
  <c r="N135" i="1"/>
  <c r="N134" i="1"/>
  <c r="N133" i="1"/>
  <c r="N132" i="1"/>
  <c r="N131" i="1"/>
  <c r="N130" i="1"/>
  <c r="N129" i="1"/>
  <c r="N128" i="1"/>
  <c r="N127" i="1"/>
  <c r="N67" i="1"/>
  <c r="N66" i="1"/>
  <c r="N121" i="1"/>
  <c r="N120" i="1"/>
  <c r="N116" i="1"/>
  <c r="N111" i="1"/>
  <c r="N110" i="1"/>
  <c r="N109" i="1"/>
  <c r="N106" i="1"/>
  <c r="N102" i="1"/>
  <c r="N100" i="1"/>
  <c r="N105" i="1"/>
  <c r="N104" i="1"/>
  <c r="N65" i="1"/>
  <c r="N98" i="1"/>
  <c r="N97" i="1"/>
  <c r="N96" i="1"/>
  <c r="N95" i="1"/>
  <c r="N94" i="1"/>
  <c r="N93" i="1"/>
  <c r="N84" i="1"/>
  <c r="N64" i="1"/>
  <c r="N82" i="1"/>
  <c r="N81" i="1"/>
  <c r="H83" i="1"/>
  <c r="AJ155" i="1"/>
  <c r="AH155" i="1"/>
  <c r="AF155" i="1"/>
  <c r="AB155" i="1"/>
  <c r="Z155" i="1"/>
  <c r="X155" i="1"/>
  <c r="T155" i="1"/>
  <c r="R155" i="1"/>
  <c r="P155" i="1"/>
  <c r="L155" i="1"/>
  <c r="AJ63" i="1"/>
  <c r="AH63" i="1"/>
  <c r="AF63" i="1"/>
  <c r="AB63" i="1"/>
  <c r="Z63" i="1"/>
  <c r="X63" i="1"/>
  <c r="T63" i="1"/>
  <c r="R63" i="1"/>
  <c r="P63" i="1"/>
  <c r="L63" i="1"/>
  <c r="H63" i="1"/>
  <c r="AJ61" i="1"/>
  <c r="AH61" i="1"/>
  <c r="AF61" i="1"/>
  <c r="AB61" i="1"/>
  <c r="Z61" i="1"/>
  <c r="X61" i="1"/>
  <c r="T61" i="1"/>
  <c r="R61" i="1"/>
  <c r="P61" i="1"/>
  <c r="L61" i="1"/>
  <c r="AL62" i="1"/>
  <c r="AL60" i="1"/>
  <c r="AL57" i="1"/>
  <c r="AL55" i="1"/>
  <c r="AD62" i="1"/>
  <c r="AD60" i="1"/>
  <c r="AD57" i="1"/>
  <c r="AD55" i="1"/>
  <c r="V62" i="1"/>
  <c r="V60" i="1"/>
  <c r="V57" i="1"/>
  <c r="V55" i="1"/>
  <c r="N60" i="1"/>
  <c r="J61" i="1"/>
  <c r="H61" i="1"/>
  <c r="AL53" i="1"/>
  <c r="AD53" i="1"/>
  <c r="V53" i="1"/>
  <c r="T174" i="1" l="1"/>
  <c r="N90" i="1"/>
  <c r="AJ174" i="1"/>
  <c r="AF174" i="1"/>
  <c r="R174" i="1"/>
  <c r="X174" i="1"/>
  <c r="AB174" i="1"/>
  <c r="L174" i="1"/>
  <c r="Z174" i="1"/>
  <c r="AH174" i="1"/>
  <c r="P174" i="1"/>
  <c r="T69" i="1"/>
  <c r="T79" i="1" s="1"/>
  <c r="Z69" i="1"/>
  <c r="Z79" i="1" s="1"/>
  <c r="AB69" i="1"/>
  <c r="AB79" i="1" s="1"/>
  <c r="X69" i="1"/>
  <c r="AF69" i="1"/>
  <c r="AN150" i="1"/>
  <c r="N92" i="1"/>
  <c r="N83" i="1"/>
  <c r="L69" i="1"/>
  <c r="P69" i="1"/>
  <c r="P79" i="1" s="1"/>
  <c r="R69" i="1"/>
  <c r="R79" i="1" s="1"/>
  <c r="AH69" i="1"/>
  <c r="AH79" i="1" s="1"/>
  <c r="AJ69" i="1"/>
  <c r="AJ79" i="1" s="1"/>
  <c r="V78" i="1"/>
  <c r="AL119" i="1"/>
  <c r="L193" i="1"/>
  <c r="L195" i="1"/>
  <c r="N62" i="1"/>
  <c r="AN62" i="1" s="1"/>
  <c r="AD122" i="1"/>
  <c r="V146" i="1"/>
  <c r="N146" i="1"/>
  <c r="N160" i="1"/>
  <c r="V92" i="1"/>
  <c r="AL155" i="1"/>
  <c r="AN67" i="1"/>
  <c r="AD63" i="1"/>
  <c r="N162" i="1"/>
  <c r="AD155" i="1"/>
  <c r="AN120" i="1"/>
  <c r="AN121" i="1"/>
  <c r="AN66" i="1"/>
  <c r="AL86" i="1"/>
  <c r="V158" i="1"/>
  <c r="V63" i="1"/>
  <c r="AN104" i="1"/>
  <c r="AN77" i="1"/>
  <c r="AN98" i="1"/>
  <c r="AN136" i="1"/>
  <c r="AN109" i="1"/>
  <c r="AN65" i="1"/>
  <c r="AN91" i="1"/>
  <c r="AN81" i="1"/>
  <c r="AN94" i="1"/>
  <c r="AN111" i="1"/>
  <c r="AN147" i="1"/>
  <c r="AN181" i="1"/>
  <c r="AN180" i="1"/>
  <c r="AN95" i="1"/>
  <c r="AN116" i="1"/>
  <c r="AN148" i="1"/>
  <c r="AD173" i="1"/>
  <c r="AN135" i="1"/>
  <c r="AN93" i="1"/>
  <c r="AN110" i="1"/>
  <c r="AN96" i="1"/>
  <c r="AN106" i="1"/>
  <c r="AL173" i="1"/>
  <c r="AN58" i="1"/>
  <c r="AN105" i="1"/>
  <c r="AN87" i="1"/>
  <c r="AN179" i="1"/>
  <c r="AN129" i="1"/>
  <c r="AN153" i="1"/>
  <c r="AN182" i="1"/>
  <c r="AN64" i="1"/>
  <c r="AN183" i="1"/>
  <c r="AN84" i="1"/>
  <c r="AN127" i="1"/>
  <c r="AN70" i="1"/>
  <c r="AN71" i="1"/>
  <c r="AN72" i="1"/>
  <c r="AN131" i="1"/>
  <c r="AN82" i="1"/>
  <c r="AN100" i="1"/>
  <c r="AN161" i="1"/>
  <c r="AN178" i="1"/>
  <c r="AN88" i="1"/>
  <c r="AN89" i="1"/>
  <c r="AN74" i="1"/>
  <c r="AN132" i="1"/>
  <c r="AN97" i="1"/>
  <c r="AN60" i="1"/>
  <c r="AN130" i="1"/>
  <c r="AL63" i="1"/>
  <c r="AN133" i="1"/>
  <c r="N86" i="1"/>
  <c r="AN102" i="1"/>
  <c r="AN128" i="1"/>
  <c r="AN73" i="1"/>
  <c r="AN134" i="1"/>
  <c r="AN154" i="1"/>
  <c r="AN159" i="1"/>
  <c r="N122" i="1"/>
  <c r="AD158" i="1"/>
  <c r="AN157" i="1"/>
  <c r="AN156" i="1"/>
  <c r="AN152" i="1"/>
  <c r="AN137" i="1"/>
  <c r="AN145" i="1"/>
  <c r="AL83" i="1"/>
  <c r="AL158" i="1"/>
  <c r="AD162" i="1"/>
  <c r="V173" i="1"/>
  <c r="N158" i="1"/>
  <c r="AD146" i="1"/>
  <c r="AL146" i="1"/>
  <c r="V160" i="1"/>
  <c r="AL162" i="1"/>
  <c r="AD160" i="1"/>
  <c r="V155" i="1"/>
  <c r="AD92" i="1"/>
  <c r="V119" i="1"/>
  <c r="V162" i="1"/>
  <c r="AL160" i="1"/>
  <c r="V90" i="1"/>
  <c r="AD119" i="1"/>
  <c r="V86" i="1"/>
  <c r="AD90" i="1"/>
  <c r="AL90" i="1"/>
  <c r="AL122" i="1"/>
  <c r="V99" i="1"/>
  <c r="AD86" i="1"/>
  <c r="AD99" i="1"/>
  <c r="AL99" i="1"/>
  <c r="AL92" i="1"/>
  <c r="N99" i="1"/>
  <c r="AL61" i="1"/>
  <c r="V83" i="1"/>
  <c r="AD83" i="1"/>
  <c r="V122" i="1"/>
  <c r="H155" i="1"/>
  <c r="H174" i="1" s="1"/>
  <c r="J155" i="1"/>
  <c r="J174" i="1" s="1"/>
  <c r="AD61" i="1"/>
  <c r="V61" i="1"/>
  <c r="N61" i="1"/>
  <c r="J63" i="1"/>
  <c r="N63" i="1" s="1"/>
  <c r="AN53" i="1"/>
  <c r="AN173" i="1" l="1"/>
  <c r="AN119" i="1"/>
  <c r="L79" i="1"/>
  <c r="M69" i="1"/>
  <c r="AD69" i="1"/>
  <c r="X79" i="1"/>
  <c r="V69" i="1"/>
  <c r="AF79" i="1"/>
  <c r="AL69" i="1"/>
  <c r="AJ192" i="1"/>
  <c r="AN63" i="1"/>
  <c r="AN158" i="1"/>
  <c r="AN99" i="1"/>
  <c r="AN86" i="1"/>
  <c r="AN160" i="1"/>
  <c r="AN146" i="1"/>
  <c r="AN162" i="1"/>
  <c r="AN90" i="1"/>
  <c r="AN61" i="1"/>
  <c r="AN92" i="1"/>
  <c r="AN83" i="1"/>
  <c r="AN122" i="1"/>
  <c r="N155" i="1"/>
  <c r="AN155" i="1" s="1"/>
  <c r="AL79" i="1" l="1"/>
  <c r="L80" i="1"/>
  <c r="V79" i="1"/>
  <c r="AD79" i="1"/>
  <c r="AD42" i="1"/>
  <c r="AD43" i="1"/>
  <c r="V43" i="1"/>
  <c r="V44" i="1"/>
  <c r="N43" i="1"/>
  <c r="N44" i="1"/>
  <c r="AN44" i="1" l="1"/>
  <c r="AN43" i="1"/>
  <c r="J5" i="1" l="1"/>
  <c r="J4" i="1"/>
  <c r="H5" i="1"/>
  <c r="H4" i="1"/>
  <c r="AA10" i="4"/>
  <c r="X10" i="4"/>
  <c r="AB9" i="4"/>
  <c r="AA9" i="4"/>
  <c r="Z9" i="4"/>
  <c r="Y9" i="4"/>
  <c r="X9" i="4"/>
  <c r="W9" i="4"/>
  <c r="V9" i="4"/>
  <c r="U9" i="4"/>
  <c r="S9" i="4"/>
  <c r="AB8" i="4"/>
  <c r="AB10" i="4" s="1"/>
  <c r="AA8" i="4"/>
  <c r="Z8" i="4"/>
  <c r="Z10" i="4" s="1"/>
  <c r="Y8" i="4"/>
  <c r="Y10" i="4" s="1"/>
  <c r="X8" i="4"/>
  <c r="W8" i="4"/>
  <c r="W10" i="4" s="1"/>
  <c r="V8" i="4"/>
  <c r="V10" i="4" s="1"/>
  <c r="U8" i="4"/>
  <c r="S8" i="4"/>
  <c r="AB7" i="4"/>
  <c r="AA7" i="4"/>
  <c r="Z7" i="4"/>
  <c r="Y7" i="4"/>
  <c r="X7" i="4"/>
  <c r="W7" i="4"/>
  <c r="V7" i="4"/>
  <c r="U7" i="4"/>
  <c r="S7" i="4"/>
  <c r="AB6" i="4"/>
  <c r="AB5" i="4"/>
  <c r="AA5" i="4"/>
  <c r="Z5" i="4"/>
  <c r="Y5" i="4"/>
  <c r="X5" i="4"/>
  <c r="W5" i="4"/>
  <c r="V5" i="4"/>
  <c r="U5" i="4"/>
  <c r="S5" i="4"/>
  <c r="AB4" i="4"/>
  <c r="AA4" i="4"/>
  <c r="AA6" i="4" s="1"/>
  <c r="AA11" i="4" s="1"/>
  <c r="Z4" i="4"/>
  <c r="Z6" i="4" s="1"/>
  <c r="Y4" i="4"/>
  <c r="Y6" i="4" s="1"/>
  <c r="X4" i="4"/>
  <c r="X6" i="4" s="1"/>
  <c r="X11" i="4" s="1"/>
  <c r="W4" i="4"/>
  <c r="W6" i="4" s="1"/>
  <c r="V4" i="4"/>
  <c r="V6" i="4" s="1"/>
  <c r="U4" i="4"/>
  <c r="S4" i="4"/>
  <c r="AB17" i="4"/>
  <c r="AA17" i="4"/>
  <c r="Z17" i="4"/>
  <c r="Y17" i="4"/>
  <c r="X17" i="4"/>
  <c r="W17" i="4"/>
  <c r="V17" i="4"/>
  <c r="U17" i="4"/>
  <c r="S17" i="4"/>
  <c r="R17" i="4"/>
  <c r="AB16" i="4"/>
  <c r="AA16" i="4"/>
  <c r="Z16" i="4"/>
  <c r="Y16" i="4"/>
  <c r="X16" i="4"/>
  <c r="W16" i="4"/>
  <c r="W18" i="4" s="1"/>
  <c r="V16" i="4"/>
  <c r="V18" i="4" s="1"/>
  <c r="U16" i="4"/>
  <c r="S16" i="4"/>
  <c r="R16" i="4"/>
  <c r="R18" i="4" s="1"/>
  <c r="AB15" i="4"/>
  <c r="AB18" i="4" s="1"/>
  <c r="AA15" i="4"/>
  <c r="AA18" i="4" s="1"/>
  <c r="Z15" i="4"/>
  <c r="Z18" i="4" s="1"/>
  <c r="Y15" i="4"/>
  <c r="Y18" i="4" s="1"/>
  <c r="X15" i="4"/>
  <c r="W15" i="4"/>
  <c r="V15" i="4"/>
  <c r="U15" i="4"/>
  <c r="S15" i="4"/>
  <c r="R15" i="4"/>
  <c r="AB13" i="4"/>
  <c r="AA13" i="4"/>
  <c r="Z13" i="4"/>
  <c r="Y13" i="4"/>
  <c r="X13" i="4"/>
  <c r="W13" i="4"/>
  <c r="V13" i="4"/>
  <c r="U13" i="4"/>
  <c r="S13" i="4"/>
  <c r="R13" i="4"/>
  <c r="AB12" i="4"/>
  <c r="AB14" i="4" s="1"/>
  <c r="AB19" i="4" s="1"/>
  <c r="AA12" i="4"/>
  <c r="AA14" i="4" s="1"/>
  <c r="AA19" i="4" s="1"/>
  <c r="Z12" i="4"/>
  <c r="Z14" i="4" s="1"/>
  <c r="Z19" i="4" s="1"/>
  <c r="Y12" i="4"/>
  <c r="Y14" i="4" s="1"/>
  <c r="Y19" i="4" s="1"/>
  <c r="X12" i="4"/>
  <c r="X14" i="4" s="1"/>
  <c r="W12" i="4"/>
  <c r="W14" i="4" s="1"/>
  <c r="V12" i="4"/>
  <c r="V14" i="4" s="1"/>
  <c r="U12" i="4"/>
  <c r="S12" i="4"/>
  <c r="R12" i="4"/>
  <c r="R14" i="4" s="1"/>
  <c r="R19" i="4" s="1"/>
  <c r="R20" i="4" s="1"/>
  <c r="Q17" i="4"/>
  <c r="Q16" i="4"/>
  <c r="Q15" i="4"/>
  <c r="Q14" i="4"/>
  <c r="Q13" i="4"/>
  <c r="Q12" i="4"/>
  <c r="R4" i="4"/>
  <c r="Q4" i="4"/>
  <c r="R9" i="4"/>
  <c r="R8" i="4"/>
  <c r="R7" i="4"/>
  <c r="R10" i="4" s="1"/>
  <c r="R5" i="4"/>
  <c r="Q9" i="4"/>
  <c r="Q8" i="4"/>
  <c r="Q7" i="4"/>
  <c r="Q6" i="4"/>
  <c r="Q5" i="4"/>
  <c r="U14" i="4" l="1"/>
  <c r="U18" i="4"/>
  <c r="AC9" i="4"/>
  <c r="U6" i="4"/>
  <c r="AC8" i="4"/>
  <c r="U10" i="4"/>
  <c r="S14" i="4"/>
  <c r="AC17" i="4"/>
  <c r="AC15" i="4"/>
  <c r="S18" i="4"/>
  <c r="AC12" i="4"/>
  <c r="S6" i="4"/>
  <c r="N5" i="1"/>
  <c r="N4" i="1"/>
  <c r="AN4" i="1" s="1"/>
  <c r="AB11" i="4"/>
  <c r="V11" i="4"/>
  <c r="Y11" i="4"/>
  <c r="U11" i="4"/>
  <c r="W11" i="4"/>
  <c r="Z11" i="4"/>
  <c r="Z20" i="4"/>
  <c r="AA20" i="4"/>
  <c r="AB20" i="4"/>
  <c r="S10" i="4"/>
  <c r="AC5" i="4"/>
  <c r="Y20" i="4"/>
  <c r="AC4" i="4"/>
  <c r="W19" i="4"/>
  <c r="W20" i="4" s="1"/>
  <c r="V19" i="4"/>
  <c r="V20" i="4" s="1"/>
  <c r="X18" i="4"/>
  <c r="X19" i="4" s="1"/>
  <c r="X20" i="4" s="1"/>
  <c r="AC13" i="4"/>
  <c r="AC16" i="4"/>
  <c r="Q18" i="4"/>
  <c r="Q19" i="4" s="1"/>
  <c r="Q20" i="4" s="1"/>
  <c r="R6" i="4"/>
  <c r="AC6" i="4" s="1"/>
  <c r="Q10" i="4"/>
  <c r="AC7" i="4"/>
  <c r="U19" i="4" l="1"/>
  <c r="U20" i="4"/>
  <c r="S19" i="4"/>
  <c r="S11" i="4"/>
  <c r="AC10" i="4"/>
  <c r="S20" i="4" l="1"/>
  <c r="AF22" i="5"/>
  <c r="AF12" i="5"/>
  <c r="AR3" i="5"/>
  <c r="AH6" i="1"/>
  <c r="AF6" i="1"/>
  <c r="AB6" i="1"/>
  <c r="Z6" i="1"/>
  <c r="X6" i="1"/>
  <c r="T6" i="1"/>
  <c r="R6" i="1"/>
  <c r="P6" i="1"/>
  <c r="L6" i="1"/>
  <c r="J6" i="1"/>
  <c r="H6" i="1"/>
  <c r="AJ24" i="1"/>
  <c r="AH24" i="1"/>
  <c r="AF24" i="1"/>
  <c r="AB24" i="1"/>
  <c r="Z24" i="1"/>
  <c r="X24" i="1"/>
  <c r="T24" i="1"/>
  <c r="R24" i="1"/>
  <c r="P24" i="1"/>
  <c r="J24" i="1"/>
  <c r="H24" i="1"/>
  <c r="AH22" i="1"/>
  <c r="AJ22" i="1"/>
  <c r="AF22" i="1"/>
  <c r="AB22" i="1"/>
  <c r="Z22" i="1"/>
  <c r="X22" i="1"/>
  <c r="T22" i="1"/>
  <c r="R22" i="1"/>
  <c r="P22" i="1"/>
  <c r="J22" i="1"/>
  <c r="H22" i="1"/>
  <c r="H26" i="1"/>
  <c r="H20" i="1"/>
  <c r="AJ26" i="1"/>
  <c r="AH26" i="1"/>
  <c r="AF26" i="1"/>
  <c r="AB26" i="1"/>
  <c r="Z26" i="1"/>
  <c r="X26" i="1"/>
  <c r="T26" i="1"/>
  <c r="R26" i="1"/>
  <c r="P26" i="1"/>
  <c r="J26" i="1"/>
  <c r="H21" i="2"/>
  <c r="AR21" i="5"/>
  <c r="AR20" i="5"/>
  <c r="AR19" i="5"/>
  <c r="AR18" i="5"/>
  <c r="AR17" i="5"/>
  <c r="AR16" i="5"/>
  <c r="AR15" i="5"/>
  <c r="AR14" i="5"/>
  <c r="AR13" i="5"/>
  <c r="AR11" i="5"/>
  <c r="AR10" i="5"/>
  <c r="AR9" i="5"/>
  <c r="AR8" i="5"/>
  <c r="AR7" i="5"/>
  <c r="AR6" i="5"/>
  <c r="AR5" i="5"/>
  <c r="AR4" i="5"/>
  <c r="AG12" i="5"/>
  <c r="AK12" i="5"/>
  <c r="AL12" i="5"/>
  <c r="AM12" i="5"/>
  <c r="AN12" i="5"/>
  <c r="AO12" i="5"/>
  <c r="AP12" i="5"/>
  <c r="AQ12" i="5"/>
  <c r="AG22" i="5"/>
  <c r="AJ22" i="5"/>
  <c r="AK22" i="5"/>
  <c r="AL22" i="5"/>
  <c r="AM22" i="5"/>
  <c r="AN22" i="5"/>
  <c r="AO22" i="5"/>
  <c r="AP22" i="5"/>
  <c r="AQ22" i="5"/>
  <c r="AL78" i="1"/>
  <c r="J55" i="1"/>
  <c r="J59" i="1" s="1"/>
  <c r="J69" i="1" s="1"/>
  <c r="AL176" i="1"/>
  <c r="AL107" i="1"/>
  <c r="AL185" i="1"/>
  <c r="AL42" i="1"/>
  <c r="AL39" i="1"/>
  <c r="AL37" i="1"/>
  <c r="AL38" i="1"/>
  <c r="AL41" i="1"/>
  <c r="AL40" i="1"/>
  <c r="AL36" i="1"/>
  <c r="AL35" i="1"/>
  <c r="AL31" i="1"/>
  <c r="AL32" i="1"/>
  <c r="AL34" i="1"/>
  <c r="AL29" i="1"/>
  <c r="AL33" i="1"/>
  <c r="AL28" i="1"/>
  <c r="AD107" i="1"/>
  <c r="AD39" i="1"/>
  <c r="AD37" i="1"/>
  <c r="AD38" i="1"/>
  <c r="AD41" i="1"/>
  <c r="AD40" i="1"/>
  <c r="AD36" i="1"/>
  <c r="AD35" i="1"/>
  <c r="AD31" i="1"/>
  <c r="AD32" i="1"/>
  <c r="AD34" i="1"/>
  <c r="AD29" i="1"/>
  <c r="AD33" i="1"/>
  <c r="AD28" i="1"/>
  <c r="V107" i="1"/>
  <c r="V50" i="1"/>
  <c r="V49" i="1"/>
  <c r="V42" i="1"/>
  <c r="V39" i="1"/>
  <c r="V37" i="1"/>
  <c r="V38" i="1"/>
  <c r="V41" i="1"/>
  <c r="V40" i="1"/>
  <c r="V36" i="1"/>
  <c r="V35" i="1"/>
  <c r="V31" i="1"/>
  <c r="V32" i="1"/>
  <c r="V34" i="1"/>
  <c r="V29" i="1"/>
  <c r="V33" i="1"/>
  <c r="V28" i="1"/>
  <c r="N176" i="1"/>
  <c r="N107" i="1"/>
  <c r="N185" i="1"/>
  <c r="N184" i="1"/>
  <c r="AN184" i="1" s="1"/>
  <c r="N172" i="1"/>
  <c r="AN172" i="1" s="1"/>
  <c r="N50" i="1"/>
  <c r="N49" i="1"/>
  <c r="N57" i="1"/>
  <c r="AN57" i="1" s="1"/>
  <c r="N42" i="1"/>
  <c r="N39" i="1"/>
  <c r="N37" i="1"/>
  <c r="N38" i="1"/>
  <c r="N41" i="1"/>
  <c r="N40" i="1"/>
  <c r="N36" i="1"/>
  <c r="N35" i="1"/>
  <c r="N31" i="1"/>
  <c r="N32" i="1"/>
  <c r="N34" i="1"/>
  <c r="N29" i="1"/>
  <c r="N33" i="1"/>
  <c r="N28" i="1"/>
  <c r="AD22" i="5"/>
  <c r="AC22" i="5"/>
  <c r="AB22" i="5"/>
  <c r="AA22" i="5"/>
  <c r="Z22" i="5"/>
  <c r="Y22" i="5"/>
  <c r="X22" i="5"/>
  <c r="W22" i="5"/>
  <c r="V22" i="5"/>
  <c r="U22" i="5"/>
  <c r="T22" i="5"/>
  <c r="S22" i="5"/>
  <c r="Q22" i="5"/>
  <c r="P22" i="5"/>
  <c r="O22" i="5"/>
  <c r="N22" i="5"/>
  <c r="M22" i="5"/>
  <c r="L22" i="5"/>
  <c r="K22" i="5"/>
  <c r="J22" i="5"/>
  <c r="I22" i="5"/>
  <c r="H22" i="5"/>
  <c r="G22" i="5"/>
  <c r="F22" i="5"/>
  <c r="AE21" i="5"/>
  <c r="R21" i="5"/>
  <c r="AE20" i="5"/>
  <c r="R20" i="5"/>
  <c r="AE19" i="5"/>
  <c r="R19" i="5"/>
  <c r="AE18" i="5"/>
  <c r="R18" i="5"/>
  <c r="AE17" i="5"/>
  <c r="R17" i="5"/>
  <c r="AE16" i="5"/>
  <c r="R16" i="5"/>
  <c r="AE15" i="5"/>
  <c r="R15" i="5"/>
  <c r="AE14" i="5"/>
  <c r="R14" i="5"/>
  <c r="AE13" i="5"/>
  <c r="K26" i="5" s="1"/>
  <c r="R13" i="5"/>
  <c r="AD12" i="5"/>
  <c r="AC12" i="5"/>
  <c r="AB12" i="5"/>
  <c r="AA12" i="5"/>
  <c r="Z12" i="5"/>
  <c r="Y12" i="5"/>
  <c r="X12" i="5"/>
  <c r="W12" i="5"/>
  <c r="V12" i="5"/>
  <c r="U12" i="5"/>
  <c r="T12" i="5"/>
  <c r="S12" i="5"/>
  <c r="Q12" i="5"/>
  <c r="P12" i="5"/>
  <c r="O12" i="5"/>
  <c r="N12" i="5"/>
  <c r="M12" i="5"/>
  <c r="L12" i="5"/>
  <c r="K12" i="5"/>
  <c r="J12" i="5"/>
  <c r="I12" i="5"/>
  <c r="H12" i="5"/>
  <c r="G12" i="5"/>
  <c r="F12" i="5"/>
  <c r="AE11" i="5"/>
  <c r="R11" i="5"/>
  <c r="AE10" i="5"/>
  <c r="R10" i="5"/>
  <c r="AE9" i="5"/>
  <c r="R9" i="5"/>
  <c r="AE8" i="5"/>
  <c r="R8" i="5"/>
  <c r="AE7" i="5"/>
  <c r="R7" i="5"/>
  <c r="AE6" i="5"/>
  <c r="R6" i="5"/>
  <c r="AE5" i="5"/>
  <c r="J25" i="5" s="1"/>
  <c r="R5" i="5"/>
  <c r="AE4" i="5"/>
  <c r="R4" i="5"/>
  <c r="AE3" i="5"/>
  <c r="R3" i="5"/>
  <c r="P16" i="4"/>
  <c r="O16" i="4"/>
  <c r="N16" i="4"/>
  <c r="M16" i="4"/>
  <c r="L16" i="4"/>
  <c r="K16" i="4"/>
  <c r="J16" i="4"/>
  <c r="I16" i="4"/>
  <c r="H16" i="4"/>
  <c r="G16" i="4"/>
  <c r="F16" i="4"/>
  <c r="E16" i="4"/>
  <c r="AC18" i="4"/>
  <c r="P15" i="4"/>
  <c r="O15" i="4"/>
  <c r="N15" i="4"/>
  <c r="M15" i="4"/>
  <c r="L15" i="4"/>
  <c r="K15" i="4"/>
  <c r="J15" i="4"/>
  <c r="I15" i="4"/>
  <c r="H15" i="4"/>
  <c r="G15" i="4"/>
  <c r="F15" i="4"/>
  <c r="E15" i="4"/>
  <c r="AC14" i="4"/>
  <c r="P13" i="4"/>
  <c r="O13" i="4"/>
  <c r="N13" i="4"/>
  <c r="M13" i="4"/>
  <c r="L13" i="4"/>
  <c r="K13" i="4"/>
  <c r="J13" i="4"/>
  <c r="I13" i="4"/>
  <c r="H13" i="4"/>
  <c r="G13" i="4"/>
  <c r="F13" i="4"/>
  <c r="E13" i="4"/>
  <c r="P12" i="4"/>
  <c r="O12" i="4"/>
  <c r="N12" i="4"/>
  <c r="M12" i="4"/>
  <c r="L12" i="4"/>
  <c r="K12" i="4"/>
  <c r="J12" i="4"/>
  <c r="I12" i="4"/>
  <c r="H12" i="4"/>
  <c r="G12" i="4"/>
  <c r="F12" i="4"/>
  <c r="E12" i="4"/>
  <c r="P8" i="4"/>
  <c r="O8" i="4"/>
  <c r="N8" i="4"/>
  <c r="M8" i="4"/>
  <c r="L8" i="4"/>
  <c r="K8" i="4"/>
  <c r="J8" i="4"/>
  <c r="I8" i="4"/>
  <c r="H8" i="4"/>
  <c r="G8" i="4"/>
  <c r="F8" i="4"/>
  <c r="E8" i="4"/>
  <c r="R11" i="4"/>
  <c r="P7" i="4"/>
  <c r="O7" i="4"/>
  <c r="N7" i="4"/>
  <c r="M7" i="4"/>
  <c r="L7" i="4"/>
  <c r="K7" i="4"/>
  <c r="J7" i="4"/>
  <c r="I7" i="4"/>
  <c r="H7" i="4"/>
  <c r="G7" i="4"/>
  <c r="F7" i="4"/>
  <c r="E7" i="4"/>
  <c r="P5" i="4"/>
  <c r="O5" i="4"/>
  <c r="N5" i="4"/>
  <c r="M5" i="4"/>
  <c r="L5" i="4"/>
  <c r="K5" i="4"/>
  <c r="J5" i="4"/>
  <c r="I5" i="4"/>
  <c r="H5" i="4"/>
  <c r="G5" i="4"/>
  <c r="F5" i="4"/>
  <c r="E5" i="4"/>
  <c r="P4" i="4"/>
  <c r="O4" i="4"/>
  <c r="N4" i="4"/>
  <c r="M4" i="4"/>
  <c r="L4" i="4"/>
  <c r="K4" i="4"/>
  <c r="J4" i="4"/>
  <c r="I4" i="4"/>
  <c r="H4" i="4"/>
  <c r="G4" i="4"/>
  <c r="F4" i="4"/>
  <c r="E4" i="4"/>
  <c r="AG25" i="2"/>
  <c r="AE25" i="2"/>
  <c r="AC25" i="2"/>
  <c r="AD25" i="2" s="1"/>
  <c r="Y25" i="2"/>
  <c r="W25" i="2"/>
  <c r="U25" i="2"/>
  <c r="V25" i="2" s="1"/>
  <c r="Q25" i="2"/>
  <c r="O25" i="2"/>
  <c r="S25" i="2" s="1"/>
  <c r="K25" i="2"/>
  <c r="AG24" i="2"/>
  <c r="AE24" i="2"/>
  <c r="AC24" i="2"/>
  <c r="AD24" i="2" s="1"/>
  <c r="Y24" i="2"/>
  <c r="Z24" i="2" s="1"/>
  <c r="W24" i="2"/>
  <c r="U24" i="2"/>
  <c r="V24" i="2" s="1"/>
  <c r="Q24" i="2"/>
  <c r="O24" i="2"/>
  <c r="S24" i="2" s="1"/>
  <c r="K24" i="2"/>
  <c r="AI23" i="2"/>
  <c r="AA23" i="2"/>
  <c r="S23" i="2"/>
  <c r="K23" i="2"/>
  <c r="AG22" i="2"/>
  <c r="AE22" i="2"/>
  <c r="AC22" i="2"/>
  <c r="AI22" i="2" s="1"/>
  <c r="Y22" i="2"/>
  <c r="Z22" i="2" s="1"/>
  <c r="W22" i="2"/>
  <c r="U22" i="2"/>
  <c r="V22" i="2" s="1"/>
  <c r="Q22" i="2"/>
  <c r="O22" i="2"/>
  <c r="M22" i="2"/>
  <c r="S22" i="2" s="1"/>
  <c r="J22" i="2"/>
  <c r="I22" i="2"/>
  <c r="H22" i="2"/>
  <c r="K22" i="2" s="1"/>
  <c r="AG21" i="2"/>
  <c r="AE21" i="2"/>
  <c r="AC21" i="2"/>
  <c r="AD21" i="2" s="1"/>
  <c r="Y21" i="2"/>
  <c r="W21" i="2"/>
  <c r="U21" i="2"/>
  <c r="AA21" i="2" s="1"/>
  <c r="Q21" i="2"/>
  <c r="O21" i="2"/>
  <c r="M21" i="2"/>
  <c r="J21" i="2"/>
  <c r="I21" i="2"/>
  <c r="K21" i="2"/>
  <c r="AC20" i="2"/>
  <c r="AD16" i="2" s="1"/>
  <c r="U20" i="2"/>
  <c r="V6" i="2" s="1"/>
  <c r="AG19" i="2"/>
  <c r="AE19" i="2"/>
  <c r="AC19" i="2"/>
  <c r="AD19" i="2" s="1"/>
  <c r="AA19" i="2"/>
  <c r="Y19" i="2"/>
  <c r="Z19" i="2" s="1"/>
  <c r="W19" i="2"/>
  <c r="U19" i="2"/>
  <c r="V19" i="2" s="1"/>
  <c r="Q19" i="2"/>
  <c r="O19" i="2"/>
  <c r="M19" i="2"/>
  <c r="AI18" i="2"/>
  <c r="AA18" i="2"/>
  <c r="AJ18" i="2" s="1"/>
  <c r="AK18" i="2" s="1"/>
  <c r="S18" i="2"/>
  <c r="K18" i="2"/>
  <c r="AJ17" i="2"/>
  <c r="AK17" i="2" s="1"/>
  <c r="AI17" i="2"/>
  <c r="AA17" i="2"/>
  <c r="V17" i="2"/>
  <c r="S17" i="2"/>
  <c r="K17" i="2"/>
  <c r="AI16" i="2"/>
  <c r="AI19" i="2" s="1"/>
  <c r="AA16" i="2"/>
  <c r="V16" i="2"/>
  <c r="S16" i="2"/>
  <c r="K16" i="2"/>
  <c r="AI15" i="2"/>
  <c r="AG15" i="2"/>
  <c r="AE15" i="2"/>
  <c r="AC15" i="2"/>
  <c r="AD15" i="2" s="1"/>
  <c r="Y15" i="2"/>
  <c r="W15" i="2"/>
  <c r="AA15" i="2" s="1"/>
  <c r="V15" i="2"/>
  <c r="U15" i="2"/>
  <c r="Q15" i="2"/>
  <c r="O15" i="2"/>
  <c r="M15" i="2"/>
  <c r="K15" i="2"/>
  <c r="AI14" i="2"/>
  <c r="AD14" i="2"/>
  <c r="AA14" i="2"/>
  <c r="S14" i="2"/>
  <c r="AJ14" i="2" s="1"/>
  <c r="AK14" i="2" s="1"/>
  <c r="K14" i="2"/>
  <c r="AI13" i="2"/>
  <c r="AA13" i="2"/>
  <c r="S13" i="2"/>
  <c r="J13" i="2"/>
  <c r="K13" i="2" s="1"/>
  <c r="I13" i="2"/>
  <c r="H13" i="2"/>
  <c r="AI12" i="2"/>
  <c r="AA12" i="2"/>
  <c r="S12" i="2"/>
  <c r="K12" i="2"/>
  <c r="J12" i="2"/>
  <c r="I12" i="2"/>
  <c r="H12" i="2"/>
  <c r="AI11" i="2"/>
  <c r="AD11" i="2"/>
  <c r="AA11" i="2"/>
  <c r="S11" i="2"/>
  <c r="J11" i="2"/>
  <c r="I11" i="2"/>
  <c r="I15" i="2" s="1"/>
  <c r="H11" i="2"/>
  <c r="K11" i="2" s="1"/>
  <c r="AG10" i="2"/>
  <c r="AE10" i="2"/>
  <c r="AC10" i="2"/>
  <c r="AD10" i="2" s="1"/>
  <c r="Y10" i="2"/>
  <c r="Y20" i="2" s="1"/>
  <c r="W10" i="2"/>
  <c r="V10" i="2"/>
  <c r="U10" i="2"/>
  <c r="Q10" i="2"/>
  <c r="O10" i="2"/>
  <c r="M10" i="2"/>
  <c r="AI9" i="2"/>
  <c r="AJ9" i="2" s="1"/>
  <c r="AK9" i="2" s="1"/>
  <c r="AD9" i="2"/>
  <c r="AA9" i="2"/>
  <c r="S9" i="2"/>
  <c r="K9" i="2"/>
  <c r="AI8" i="2"/>
  <c r="AD8" i="2"/>
  <c r="AA8" i="2"/>
  <c r="S8" i="2"/>
  <c r="J8" i="2"/>
  <c r="I8" i="2"/>
  <c r="H8" i="2"/>
  <c r="K8" i="2" s="1"/>
  <c r="AI7" i="2"/>
  <c r="AD7" i="2"/>
  <c r="AA7" i="2"/>
  <c r="S7" i="2"/>
  <c r="J7" i="2"/>
  <c r="I7" i="2"/>
  <c r="H7" i="2"/>
  <c r="K7" i="2" s="1"/>
  <c r="AI6" i="2"/>
  <c r="AI10" i="2" s="1"/>
  <c r="AD6" i="2"/>
  <c r="AA6" i="2"/>
  <c r="S6" i="2"/>
  <c r="S10" i="2" s="1"/>
  <c r="J6" i="2"/>
  <c r="J10" i="2" s="1"/>
  <c r="I6" i="2"/>
  <c r="I10" i="2" s="1"/>
  <c r="I20" i="2" s="1"/>
  <c r="H6" i="2"/>
  <c r="H10" i="2" s="1"/>
  <c r="AL177" i="1"/>
  <c r="AD176" i="1"/>
  <c r="V176" i="1"/>
  <c r="H55" i="1"/>
  <c r="H59" i="1" s="1"/>
  <c r="AJ20" i="1"/>
  <c r="AH20" i="1"/>
  <c r="AF20" i="1"/>
  <c r="AB20" i="1"/>
  <c r="Z20" i="1"/>
  <c r="X20" i="1"/>
  <c r="T20" i="1"/>
  <c r="R20" i="1"/>
  <c r="P20" i="1"/>
  <c r="J20" i="1"/>
  <c r="AJ11" i="1"/>
  <c r="AH11" i="1"/>
  <c r="AF11" i="1"/>
  <c r="AB11" i="1"/>
  <c r="AC4" i="1" s="1"/>
  <c r="Z11" i="1"/>
  <c r="X11" i="1"/>
  <c r="T11" i="1"/>
  <c r="R11" i="1"/>
  <c r="P11" i="1"/>
  <c r="AJ16" i="1"/>
  <c r="AH16" i="1"/>
  <c r="AF16" i="1"/>
  <c r="AB16" i="1"/>
  <c r="Z16" i="1"/>
  <c r="X16" i="1"/>
  <c r="T16" i="1"/>
  <c r="R16" i="1"/>
  <c r="P16" i="1"/>
  <c r="AP11" i="1" l="1"/>
  <c r="I6" i="4"/>
  <c r="AN49" i="1"/>
  <c r="J79" i="1"/>
  <c r="AD24" i="1"/>
  <c r="N26" i="1"/>
  <c r="N22" i="1"/>
  <c r="AA22" i="2"/>
  <c r="E6" i="4"/>
  <c r="L6" i="4"/>
  <c r="AI24" i="2"/>
  <c r="J6" i="4"/>
  <c r="K6" i="4"/>
  <c r="N6" i="1"/>
  <c r="AL16" i="1"/>
  <c r="O6" i="4"/>
  <c r="F14" i="4"/>
  <c r="M6" i="4"/>
  <c r="E14" i="4"/>
  <c r="K14" i="4"/>
  <c r="K19" i="4" s="1"/>
  <c r="J14" i="4"/>
  <c r="L14" i="4"/>
  <c r="M14" i="4"/>
  <c r="AL20" i="1"/>
  <c r="AD22" i="1"/>
  <c r="V6" i="1"/>
  <c r="V22" i="1"/>
  <c r="AD6" i="1"/>
  <c r="AN185" i="1"/>
  <c r="AL24" i="1"/>
  <c r="N20" i="1"/>
  <c r="AN107" i="1"/>
  <c r="AL11" i="1"/>
  <c r="V26" i="1"/>
  <c r="AL22" i="1"/>
  <c r="AN176" i="1"/>
  <c r="AD26" i="1"/>
  <c r="N24" i="1"/>
  <c r="V16" i="1"/>
  <c r="V20" i="1"/>
  <c r="Q4" i="1"/>
  <c r="V11" i="1"/>
  <c r="AL26" i="1"/>
  <c r="V24" i="1"/>
  <c r="AD16" i="1"/>
  <c r="AD78" i="1"/>
  <c r="Y4" i="1"/>
  <c r="AD11" i="1"/>
  <c r="AD20" i="1"/>
  <c r="N14" i="4"/>
  <c r="G6" i="4"/>
  <c r="H18" i="4"/>
  <c r="H6" i="4"/>
  <c r="H14" i="4"/>
  <c r="H19" i="4" s="1"/>
  <c r="N6" i="4"/>
  <c r="N11" i="4" s="1"/>
  <c r="O18" i="4"/>
  <c r="P18" i="4"/>
  <c r="P6" i="4"/>
  <c r="J10" i="4"/>
  <c r="AN39" i="1"/>
  <c r="AN42" i="1"/>
  <c r="AJ6" i="1"/>
  <c r="AL6" i="1" s="1"/>
  <c r="Y5" i="1"/>
  <c r="X27" i="1"/>
  <c r="AH27" i="1"/>
  <c r="AJ27" i="1"/>
  <c r="T27" i="1"/>
  <c r="AF27" i="1"/>
  <c r="Z27" i="1"/>
  <c r="S5" i="1"/>
  <c r="R27" i="1"/>
  <c r="R189" i="1" s="1"/>
  <c r="P27" i="1"/>
  <c r="AC5" i="1"/>
  <c r="AB27" i="1"/>
  <c r="O14" i="4"/>
  <c r="G18" i="4"/>
  <c r="E10" i="4"/>
  <c r="F18" i="4"/>
  <c r="K10" i="4"/>
  <c r="L10" i="4"/>
  <c r="I14" i="4"/>
  <c r="I18" i="4"/>
  <c r="F10" i="4"/>
  <c r="I10" i="4"/>
  <c r="I11" i="4" s="1"/>
  <c r="M10" i="4"/>
  <c r="J18" i="4"/>
  <c r="N10" i="4"/>
  <c r="K18" i="4"/>
  <c r="O10" i="4"/>
  <c r="L18" i="4"/>
  <c r="L19" i="4" s="1"/>
  <c r="J19" i="4"/>
  <c r="P14" i="4"/>
  <c r="H10" i="4"/>
  <c r="F6" i="4"/>
  <c r="P10" i="4"/>
  <c r="M18" i="4"/>
  <c r="G10" i="4"/>
  <c r="N18" i="4"/>
  <c r="AN25" i="1"/>
  <c r="AN26" i="1" s="1"/>
  <c r="AN23" i="1"/>
  <c r="AN24" i="1" s="1"/>
  <c r="AN21" i="1"/>
  <c r="AN22" i="1" s="1"/>
  <c r="V186" i="1"/>
  <c r="AR12" i="5"/>
  <c r="AR22" i="5"/>
  <c r="AE22" i="5"/>
  <c r="R22" i="5"/>
  <c r="K25" i="5"/>
  <c r="K27" i="5" s="1"/>
  <c r="R12" i="5"/>
  <c r="J26" i="5"/>
  <c r="L26" i="5" s="1"/>
  <c r="AE12" i="5"/>
  <c r="V177" i="1"/>
  <c r="AD213" i="1"/>
  <c r="AD177" i="1"/>
  <c r="V213" i="1"/>
  <c r="N55" i="1"/>
  <c r="AN55" i="1" s="1"/>
  <c r="AD186" i="1"/>
  <c r="AL186" i="1"/>
  <c r="AL195" i="1" s="1"/>
  <c r="N186" i="1"/>
  <c r="AK4" i="1"/>
  <c r="AN17" i="1"/>
  <c r="AN12" i="1"/>
  <c r="U4" i="1"/>
  <c r="AN227" i="1"/>
  <c r="AI4" i="1"/>
  <c r="AG5" i="1"/>
  <c r="AN210" i="1"/>
  <c r="Q5" i="1"/>
  <c r="S4" i="1"/>
  <c r="U5" i="1"/>
  <c r="AN222" i="1"/>
  <c r="AN207" i="1"/>
  <c r="N213" i="1"/>
  <c r="AA4" i="1"/>
  <c r="AA5" i="1"/>
  <c r="AN219" i="1"/>
  <c r="AN221" i="1"/>
  <c r="AG4" i="1"/>
  <c r="AN34" i="1"/>
  <c r="AK5" i="1"/>
  <c r="AI5" i="1"/>
  <c r="AN32" i="1"/>
  <c r="AN217" i="1"/>
  <c r="J11" i="1"/>
  <c r="AN211" i="1"/>
  <c r="AN224" i="1"/>
  <c r="AN206" i="1"/>
  <c r="AN37" i="1"/>
  <c r="AN36" i="1"/>
  <c r="AN218" i="1"/>
  <c r="AN212" i="1"/>
  <c r="H11" i="1"/>
  <c r="AN31" i="1"/>
  <c r="AN41" i="1"/>
  <c r="J16" i="1"/>
  <c r="AN33" i="1"/>
  <c r="AN35" i="1"/>
  <c r="AN223" i="1"/>
  <c r="AN38" i="1"/>
  <c r="AN208" i="1"/>
  <c r="AN209" i="1"/>
  <c r="Q11" i="4"/>
  <c r="AC11" i="4" s="1"/>
  <c r="E18" i="4"/>
  <c r="G14" i="4"/>
  <c r="AH19" i="2"/>
  <c r="P15" i="2"/>
  <c r="T22" i="2"/>
  <c r="R10" i="2"/>
  <c r="W20" i="2"/>
  <c r="X25" i="2" s="1"/>
  <c r="AA10" i="2"/>
  <c r="X10" i="2"/>
  <c r="AB15" i="2"/>
  <c r="AJ15" i="2"/>
  <c r="AK15" i="2" s="1"/>
  <c r="AJ22" i="2"/>
  <c r="AK22" i="2" s="1"/>
  <c r="Z20" i="2"/>
  <c r="Z8" i="2"/>
  <c r="Z9" i="2"/>
  <c r="Z6" i="2"/>
  <c r="Z17" i="2"/>
  <c r="Z7" i="2"/>
  <c r="Z16" i="2"/>
  <c r="Z18" i="2"/>
  <c r="Z13" i="2"/>
  <c r="Z12" i="2"/>
  <c r="Z14" i="2"/>
  <c r="Z11" i="2"/>
  <c r="Z15" i="2"/>
  <c r="P21" i="2"/>
  <c r="P25" i="2"/>
  <c r="R21" i="2"/>
  <c r="S21" i="2"/>
  <c r="T21" i="2" s="1"/>
  <c r="AF10" i="2"/>
  <c r="AF15" i="2"/>
  <c r="AE20" i="2"/>
  <c r="AH22" i="2"/>
  <c r="AJ12" i="2"/>
  <c r="AK12" i="2" s="1"/>
  <c r="T8" i="2"/>
  <c r="AH10" i="2"/>
  <c r="AH15" i="2"/>
  <c r="P19" i="2"/>
  <c r="X21" i="2"/>
  <c r="T25" i="2"/>
  <c r="H20" i="2"/>
  <c r="AJ8" i="2"/>
  <c r="AK8" i="2" s="1"/>
  <c r="Z21" i="2"/>
  <c r="AJ13" i="2"/>
  <c r="AK13" i="2" s="1"/>
  <c r="Z23" i="2"/>
  <c r="J15" i="2"/>
  <c r="J20" i="2" s="1"/>
  <c r="T16" i="2"/>
  <c r="AF21" i="2"/>
  <c r="Z25" i="2"/>
  <c r="P10" i="2"/>
  <c r="AF19" i="2"/>
  <c r="P22" i="2"/>
  <c r="R15" i="2"/>
  <c r="S20" i="2"/>
  <c r="T20" i="2" s="1"/>
  <c r="AH21" i="2"/>
  <c r="AJ19" i="2"/>
  <c r="AK19" i="2" s="1"/>
  <c r="AF25" i="2"/>
  <c r="T9" i="2"/>
  <c r="AJ11" i="2"/>
  <c r="AK11" i="2" s="1"/>
  <c r="T24" i="2"/>
  <c r="AD20" i="2"/>
  <c r="AD22" i="2"/>
  <c r="AA24" i="2"/>
  <c r="Z10" i="2"/>
  <c r="AJ7" i="2"/>
  <c r="AK7" i="2" s="1"/>
  <c r="T14" i="2"/>
  <c r="V21" i="2"/>
  <c r="AG20" i="2"/>
  <c r="V12" i="2"/>
  <c r="AJ23" i="2"/>
  <c r="K6" i="2"/>
  <c r="AA25" i="2"/>
  <c r="AJ16" i="2"/>
  <c r="AK16" i="2" s="1"/>
  <c r="AD23" i="2"/>
  <c r="T11" i="2"/>
  <c r="V11" i="2"/>
  <c r="T12" i="2"/>
  <c r="V14" i="2"/>
  <c r="M20" i="2"/>
  <c r="V13" i="2"/>
  <c r="S15" i="2"/>
  <c r="V18" i="2"/>
  <c r="O20" i="2"/>
  <c r="AI20" i="2"/>
  <c r="Q20" i="2"/>
  <c r="AD12" i="2"/>
  <c r="AD13" i="2"/>
  <c r="AD18" i="2"/>
  <c r="T6" i="2"/>
  <c r="V9" i="2"/>
  <c r="V20" i="2"/>
  <c r="V7" i="2"/>
  <c r="V8" i="2"/>
  <c r="H15" i="2"/>
  <c r="AI25" i="2"/>
  <c r="AI21" i="2"/>
  <c r="V23" i="2"/>
  <c r="P24" i="2"/>
  <c r="AD17" i="2"/>
  <c r="AN29" i="1"/>
  <c r="H16" i="1"/>
  <c r="AN50" i="1"/>
  <c r="AN28" i="1"/>
  <c r="AN40" i="1"/>
  <c r="O11" i="4" l="1"/>
  <c r="E19" i="4"/>
  <c r="L11" i="4"/>
  <c r="M11" i="4"/>
  <c r="J11" i="4"/>
  <c r="P19" i="4"/>
  <c r="E11" i="4"/>
  <c r="N59" i="1"/>
  <c r="AN59" i="1" s="1"/>
  <c r="H69" i="1"/>
  <c r="H79" i="1" s="1"/>
  <c r="N79" i="1" s="1"/>
  <c r="AN79" i="1" s="1"/>
  <c r="T80" i="1"/>
  <c r="U78" i="1"/>
  <c r="AF80" i="1"/>
  <c r="AG78" i="1"/>
  <c r="X80" i="1"/>
  <c r="Y78" i="1"/>
  <c r="AH80" i="1"/>
  <c r="AI78" i="1"/>
  <c r="AB80" i="1"/>
  <c r="AC80" i="1" s="1"/>
  <c r="AC78" i="1"/>
  <c r="AJ80" i="1"/>
  <c r="AK78" i="1"/>
  <c r="Z80" i="1"/>
  <c r="AA78" i="1"/>
  <c r="P80" i="1"/>
  <c r="Q78" i="1"/>
  <c r="R80" i="1"/>
  <c r="S78" i="1"/>
  <c r="S69" i="1"/>
  <c r="AG69" i="1"/>
  <c r="U69" i="1"/>
  <c r="AK69" i="1"/>
  <c r="AA69" i="1"/>
  <c r="AI69" i="1"/>
  <c r="Y69" i="1"/>
  <c r="AC69" i="1"/>
  <c r="Q79" i="1"/>
  <c r="Q69" i="1"/>
  <c r="AK79" i="1"/>
  <c r="Y79" i="1"/>
  <c r="AA79" i="1"/>
  <c r="U79" i="1"/>
  <c r="AI79" i="1"/>
  <c r="AC79" i="1"/>
  <c r="AG79" i="1"/>
  <c r="S79" i="1"/>
  <c r="K11" i="4"/>
  <c r="F19" i="4"/>
  <c r="H11" i="4"/>
  <c r="H20" i="4" s="1"/>
  <c r="O19" i="4"/>
  <c r="O20" i="4" s="1"/>
  <c r="M19" i="4"/>
  <c r="K20" i="4"/>
  <c r="G11" i="4"/>
  <c r="N19" i="4"/>
  <c r="N20" i="4" s="1"/>
  <c r="P11" i="4"/>
  <c r="P20" i="4" s="1"/>
  <c r="M20" i="4"/>
  <c r="I19" i="4"/>
  <c r="I20" i="4" s="1"/>
  <c r="AJ193" i="1"/>
  <c r="AJ191" i="1" s="1"/>
  <c r="AJ190" i="1" s="1"/>
  <c r="Z193" i="1"/>
  <c r="AN78" i="1"/>
  <c r="Y22" i="1"/>
  <c r="AD27" i="1"/>
  <c r="AD80" i="1" s="1"/>
  <c r="Q24" i="1"/>
  <c r="V27" i="1"/>
  <c r="V80" i="1" s="1"/>
  <c r="H27" i="1"/>
  <c r="H189" i="1" s="1"/>
  <c r="N16" i="1"/>
  <c r="AN186" i="1"/>
  <c r="I4" i="1"/>
  <c r="N11" i="1"/>
  <c r="AH193" i="1"/>
  <c r="J27" i="1"/>
  <c r="AL27" i="1"/>
  <c r="Y24" i="1"/>
  <c r="L20" i="4"/>
  <c r="G19" i="4"/>
  <c r="G20" i="4" s="1"/>
  <c r="J20" i="4"/>
  <c r="Q22" i="1"/>
  <c r="Q26" i="1"/>
  <c r="K4" i="1"/>
  <c r="M5" i="1"/>
  <c r="AC19" i="4"/>
  <c r="F11" i="4"/>
  <c r="J27" i="5"/>
  <c r="P26" i="5" s="1"/>
  <c r="L25" i="5"/>
  <c r="L27" i="5" s="1"/>
  <c r="U22" i="1"/>
  <c r="U24" i="1"/>
  <c r="S22" i="1"/>
  <c r="S24" i="1"/>
  <c r="U26" i="1"/>
  <c r="U25" i="1"/>
  <c r="S26" i="1"/>
  <c r="S25" i="1"/>
  <c r="AK21" i="1"/>
  <c r="AC18" i="1"/>
  <c r="Q25" i="1"/>
  <c r="Y25" i="1"/>
  <c r="Y26" i="1"/>
  <c r="AK23" i="1"/>
  <c r="Q10" i="1"/>
  <c r="Q21" i="1"/>
  <c r="Q23" i="1"/>
  <c r="U12" i="1"/>
  <c r="U21" i="1"/>
  <c r="U23" i="1"/>
  <c r="Y20" i="1"/>
  <c r="Y21" i="1"/>
  <c r="Y23" i="1"/>
  <c r="S16" i="1"/>
  <c r="S23" i="1"/>
  <c r="S21" i="1"/>
  <c r="AF192" i="1"/>
  <c r="Q16" i="1"/>
  <c r="Q91" i="1"/>
  <c r="Y16" i="1"/>
  <c r="Y8" i="1"/>
  <c r="Y11" i="1"/>
  <c r="I5" i="1"/>
  <c r="K5" i="1"/>
  <c r="M4" i="1"/>
  <c r="Y186" i="1"/>
  <c r="Y91" i="1"/>
  <c r="Q89" i="1"/>
  <c r="Q11" i="1"/>
  <c r="Q20" i="1"/>
  <c r="Q186" i="1"/>
  <c r="Y12" i="1"/>
  <c r="Y15" i="1"/>
  <c r="Y10" i="1"/>
  <c r="Y9" i="1"/>
  <c r="Q8" i="1"/>
  <c r="Q14" i="1"/>
  <c r="Q9" i="1"/>
  <c r="Q7" i="1"/>
  <c r="U16" i="1"/>
  <c r="Q6" i="1"/>
  <c r="U6" i="1"/>
  <c r="Q17" i="1"/>
  <c r="Q12" i="1"/>
  <c r="U13" i="1"/>
  <c r="Q15" i="1"/>
  <c r="U9" i="1"/>
  <c r="U15" i="1"/>
  <c r="U91" i="1"/>
  <c r="U20" i="1"/>
  <c r="Q19" i="1"/>
  <c r="U7" i="1"/>
  <c r="AN213" i="1"/>
  <c r="U17" i="1"/>
  <c r="Y13" i="1"/>
  <c r="U14" i="1"/>
  <c r="Y19" i="1"/>
  <c r="Y89" i="1"/>
  <c r="Q13" i="1"/>
  <c r="U8" i="1"/>
  <c r="U89" i="1"/>
  <c r="U186" i="1"/>
  <c r="Q18" i="1"/>
  <c r="U10" i="1"/>
  <c r="Y7" i="1"/>
  <c r="U18" i="1"/>
  <c r="Y14" i="1"/>
  <c r="U19" i="1"/>
  <c r="U11" i="1"/>
  <c r="Y17" i="1"/>
  <c r="S6" i="1"/>
  <c r="Y18" i="1"/>
  <c r="Y6" i="1"/>
  <c r="AB193" i="1"/>
  <c r="P28" i="5"/>
  <c r="P27" i="5"/>
  <c r="P25" i="5"/>
  <c r="E20" i="4"/>
  <c r="N25" i="2"/>
  <c r="N23" i="2"/>
  <c r="N8" i="2"/>
  <c r="N7" i="2"/>
  <c r="N24" i="2"/>
  <c r="N9" i="2"/>
  <c r="N6" i="2"/>
  <c r="N20" i="2"/>
  <c r="N12" i="2"/>
  <c r="N16" i="2"/>
  <c r="N17" i="2"/>
  <c r="N18" i="2"/>
  <c r="N13" i="2"/>
  <c r="N14" i="2"/>
  <c r="N11" i="2"/>
  <c r="N19" i="2"/>
  <c r="K10" i="2"/>
  <c r="AJ10" i="2" s="1"/>
  <c r="AK10" i="2" s="1"/>
  <c r="AJ6" i="2"/>
  <c r="AK6" i="2" s="1"/>
  <c r="X15" i="2"/>
  <c r="AH12" i="2"/>
  <c r="AH14" i="2"/>
  <c r="AH17" i="2"/>
  <c r="AH18" i="2"/>
  <c r="AH13" i="2"/>
  <c r="AH11" i="2"/>
  <c r="AH23" i="2"/>
  <c r="AH8" i="2"/>
  <c r="AH20" i="2"/>
  <c r="AH7" i="2"/>
  <c r="AH9" i="2"/>
  <c r="AH6" i="2"/>
  <c r="AH16" i="2"/>
  <c r="N15" i="2"/>
  <c r="T7" i="2"/>
  <c r="T10" i="2"/>
  <c r="AB10" i="2"/>
  <c r="AJ25" i="2"/>
  <c r="AK25" i="2" s="1"/>
  <c r="AB25" i="2"/>
  <c r="N22" i="2"/>
  <c r="R7" i="2"/>
  <c r="R6" i="2"/>
  <c r="R22" i="2"/>
  <c r="R23" i="2"/>
  <c r="R8" i="2"/>
  <c r="R9" i="2"/>
  <c r="R20" i="2"/>
  <c r="R16" i="2"/>
  <c r="R17" i="2"/>
  <c r="R13" i="2"/>
  <c r="R18" i="2"/>
  <c r="R12" i="2"/>
  <c r="R14" i="2"/>
  <c r="R11" i="2"/>
  <c r="R25" i="2"/>
  <c r="N10" i="2"/>
  <c r="AJ21" i="2"/>
  <c r="AK21" i="2" s="1"/>
  <c r="R24" i="2"/>
  <c r="P23" i="2"/>
  <c r="P8" i="2"/>
  <c r="P6" i="2"/>
  <c r="P7" i="2"/>
  <c r="P9" i="2"/>
  <c r="P16" i="2"/>
  <c r="P13" i="2"/>
  <c r="P14" i="2"/>
  <c r="P20" i="2"/>
  <c r="P17" i="2"/>
  <c r="P18" i="2"/>
  <c r="P12" i="2"/>
  <c r="P11" i="2"/>
  <c r="AJ24" i="2"/>
  <c r="AK24" i="2" s="1"/>
  <c r="AB24" i="2"/>
  <c r="T17" i="2"/>
  <c r="T23" i="2"/>
  <c r="AF17" i="2"/>
  <c r="AF13" i="2"/>
  <c r="AF12" i="2"/>
  <c r="AF11" i="2"/>
  <c r="AF18" i="2"/>
  <c r="AF14" i="2"/>
  <c r="AF20" i="2"/>
  <c r="AF23" i="2"/>
  <c r="AF8" i="2"/>
  <c r="AF7" i="2"/>
  <c r="AF16" i="2"/>
  <c r="AF6" i="2"/>
  <c r="AF9" i="2"/>
  <c r="AH24" i="2"/>
  <c r="N21" i="2"/>
  <c r="X23" i="2"/>
  <c r="X9" i="2"/>
  <c r="X6" i="2"/>
  <c r="X17" i="2"/>
  <c r="X8" i="2"/>
  <c r="X20" i="2"/>
  <c r="X7" i="2"/>
  <c r="X16" i="2"/>
  <c r="X11" i="2"/>
  <c r="X18" i="2"/>
  <c r="X13" i="2"/>
  <c r="X12" i="2"/>
  <c r="X14" i="2"/>
  <c r="AA20" i="2"/>
  <c r="X24" i="2"/>
  <c r="T15" i="2"/>
  <c r="T18" i="2"/>
  <c r="R19" i="2"/>
  <c r="X19" i="2"/>
  <c r="X22" i="2"/>
  <c r="AH25" i="2"/>
  <c r="AF24" i="2"/>
  <c r="T13" i="2"/>
  <c r="AF22" i="2"/>
  <c r="Z192" i="1"/>
  <c r="AH192" i="1"/>
  <c r="S89" i="1"/>
  <c r="S20" i="1"/>
  <c r="S15" i="1"/>
  <c r="S12" i="1"/>
  <c r="S17" i="1"/>
  <c r="S18" i="1"/>
  <c r="S91" i="1"/>
  <c r="S8" i="1"/>
  <c r="S10" i="1"/>
  <c r="S186" i="1"/>
  <c r="S19" i="1"/>
  <c r="S9" i="1"/>
  <c r="S7" i="1"/>
  <c r="S13" i="1"/>
  <c r="S14" i="1"/>
  <c r="S11" i="1"/>
  <c r="H80" i="1" l="1"/>
  <c r="F20" i="4"/>
  <c r="W78" i="1"/>
  <c r="N69" i="1"/>
  <c r="AN69" i="1" s="1"/>
  <c r="AE78" i="1"/>
  <c r="I78" i="1"/>
  <c r="J80" i="1"/>
  <c r="K78" i="1"/>
  <c r="AL80" i="1"/>
  <c r="AM80" i="1" s="1"/>
  <c r="AM78" i="1"/>
  <c r="AM79" i="1"/>
  <c r="AE79" i="1"/>
  <c r="K69" i="1"/>
  <c r="K186" i="1"/>
  <c r="I79" i="1"/>
  <c r="I69" i="1"/>
  <c r="AE69" i="1"/>
  <c r="AM69" i="1"/>
  <c r="W69" i="1"/>
  <c r="AG80" i="1"/>
  <c r="K187" i="1"/>
  <c r="K79" i="1"/>
  <c r="AK80" i="1"/>
  <c r="AI80" i="1"/>
  <c r="Y80" i="1"/>
  <c r="M187" i="1"/>
  <c r="M79" i="1"/>
  <c r="S80" i="1"/>
  <c r="AA80" i="1"/>
  <c r="Q80" i="1"/>
  <c r="I186" i="1"/>
  <c r="I187" i="1"/>
  <c r="W25" i="1"/>
  <c r="W79" i="1"/>
  <c r="M16" i="1"/>
  <c r="Z191" i="1"/>
  <c r="Z190" i="1" s="1"/>
  <c r="R193" i="1"/>
  <c r="AF193" i="1"/>
  <c r="AF191" i="1" s="1"/>
  <c r="AF190" i="1" s="1"/>
  <c r="S187" i="1"/>
  <c r="K8" i="1"/>
  <c r="N27" i="1"/>
  <c r="K23" i="1"/>
  <c r="K14" i="1"/>
  <c r="K12" i="1"/>
  <c r="K10" i="1"/>
  <c r="K9" i="1"/>
  <c r="K25" i="1"/>
  <c r="K21" i="1"/>
  <c r="K13" i="1"/>
  <c r="T192" i="1"/>
  <c r="I89" i="1"/>
  <c r="K26" i="1"/>
  <c r="K89" i="1"/>
  <c r="K7" i="1"/>
  <c r="K15" i="1"/>
  <c r="K16" i="1"/>
  <c r="K11" i="1"/>
  <c r="K20" i="1"/>
  <c r="K19" i="1"/>
  <c r="K18" i="1"/>
  <c r="K17" i="1"/>
  <c r="K24" i="1"/>
  <c r="K22" i="1"/>
  <c r="M11" i="1"/>
  <c r="Q27" i="1"/>
  <c r="M23" i="1"/>
  <c r="M7" i="1"/>
  <c r="M9" i="1"/>
  <c r="M15" i="1"/>
  <c r="M17" i="1"/>
  <c r="M25" i="1"/>
  <c r="M12" i="1"/>
  <c r="M13" i="1"/>
  <c r="M18" i="1"/>
  <c r="M8" i="1"/>
  <c r="M10" i="1"/>
  <c r="M14" i="1"/>
  <c r="M19" i="1"/>
  <c r="M21" i="1"/>
  <c r="M26" i="1"/>
  <c r="M24" i="1"/>
  <c r="M22" i="1"/>
  <c r="M20" i="1"/>
  <c r="S27" i="1"/>
  <c r="Y27" i="1"/>
  <c r="U27" i="1"/>
  <c r="I22" i="1"/>
  <c r="I24" i="1"/>
  <c r="I26" i="1"/>
  <c r="AC20" i="4"/>
  <c r="AK7" i="1"/>
  <c r="AK20" i="1"/>
  <c r="AK187" i="1"/>
  <c r="AK13" i="1"/>
  <c r="AK18" i="1"/>
  <c r="AK11" i="1"/>
  <c r="AK14" i="1"/>
  <c r="AK9" i="1"/>
  <c r="AK19" i="1"/>
  <c r="AK6" i="1"/>
  <c r="AC22" i="1"/>
  <c r="AC24" i="1"/>
  <c r="AC12" i="1"/>
  <c r="AK22" i="1"/>
  <c r="AK24" i="1"/>
  <c r="AC16" i="1"/>
  <c r="AC23" i="1"/>
  <c r="AC15" i="1"/>
  <c r="AK16" i="1"/>
  <c r="AC89" i="1"/>
  <c r="AK89" i="1"/>
  <c r="AC186" i="1"/>
  <c r="AC8" i="1"/>
  <c r="AC17" i="1"/>
  <c r="AC13" i="1"/>
  <c r="AC25" i="1"/>
  <c r="AC26" i="1"/>
  <c r="AC9" i="1"/>
  <c r="AC19" i="1"/>
  <c r="AC11" i="1"/>
  <c r="AK8" i="1"/>
  <c r="AK26" i="1"/>
  <c r="AK17" i="1"/>
  <c r="AK91" i="1"/>
  <c r="AK10" i="1"/>
  <c r="AC91" i="1"/>
  <c r="AK25" i="1"/>
  <c r="AC7" i="1"/>
  <c r="AK15" i="1"/>
  <c r="AC10" i="1"/>
  <c r="AK12" i="1"/>
  <c r="AC14" i="1"/>
  <c r="AC21" i="1"/>
  <c r="AC20" i="1"/>
  <c r="AK186" i="1"/>
  <c r="AC6" i="1"/>
  <c r="AC187" i="1"/>
  <c r="AI24" i="1"/>
  <c r="AG24" i="1"/>
  <c r="AA24" i="1"/>
  <c r="AE25" i="1"/>
  <c r="I25" i="1"/>
  <c r="I16" i="1"/>
  <c r="I21" i="1"/>
  <c r="I23" i="1"/>
  <c r="W23" i="1"/>
  <c r="W21" i="1"/>
  <c r="AM187" i="1"/>
  <c r="AH191" i="1"/>
  <c r="AH190" i="1" s="1"/>
  <c r="W91" i="1"/>
  <c r="W15" i="1"/>
  <c r="W13" i="1"/>
  <c r="I18" i="1"/>
  <c r="I9" i="1"/>
  <c r="I13" i="1"/>
  <c r="I6" i="1"/>
  <c r="I12" i="1"/>
  <c r="I11" i="1"/>
  <c r="I10" i="1"/>
  <c r="AN10" i="1" s="1"/>
  <c r="I8" i="1"/>
  <c r="I14" i="1"/>
  <c r="I7" i="1"/>
  <c r="I15" i="1"/>
  <c r="AN15" i="1" s="1"/>
  <c r="I20" i="1"/>
  <c r="I19" i="1"/>
  <c r="I17" i="1"/>
  <c r="K91" i="1"/>
  <c r="K6" i="1"/>
  <c r="M89" i="1"/>
  <c r="M91" i="1"/>
  <c r="M6" i="1"/>
  <c r="AB192" i="1"/>
  <c r="AB191" i="1" s="1"/>
  <c r="AB190" i="1" s="1"/>
  <c r="L192" i="1"/>
  <c r="L191" i="1" s="1"/>
  <c r="L190" i="1" s="1"/>
  <c r="W17" i="1"/>
  <c r="W19" i="1"/>
  <c r="W14" i="1"/>
  <c r="AM4" i="1"/>
  <c r="W16" i="1"/>
  <c r="AM186" i="1"/>
  <c r="I91" i="1"/>
  <c r="W5" i="1"/>
  <c r="W6" i="1"/>
  <c r="W4" i="1"/>
  <c r="W10" i="1"/>
  <c r="W186" i="1"/>
  <c r="W8" i="1"/>
  <c r="W7" i="1"/>
  <c r="AM91" i="1"/>
  <c r="W9" i="1"/>
  <c r="W11" i="1"/>
  <c r="W12" i="1"/>
  <c r="AE89" i="1"/>
  <c r="AM89" i="1"/>
  <c r="W89" i="1"/>
  <c r="AE91" i="1"/>
  <c r="AE186" i="1"/>
  <c r="AB12" i="2"/>
  <c r="AB20" i="2"/>
  <c r="AB7" i="2"/>
  <c r="AB13" i="2"/>
  <c r="AB14" i="2"/>
  <c r="AB8" i="2"/>
  <c r="AB21" i="2"/>
  <c r="AB22" i="2"/>
  <c r="AB17" i="2"/>
  <c r="AB9" i="2"/>
  <c r="AB18" i="2"/>
  <c r="AB6" i="2"/>
  <c r="AB16" i="2"/>
  <c r="AB23" i="2"/>
  <c r="AB11" i="2"/>
  <c r="K20" i="2"/>
  <c r="P192" i="1"/>
  <c r="X192" i="1"/>
  <c r="R192" i="1"/>
  <c r="O78" i="1" l="1"/>
  <c r="N80" i="1"/>
  <c r="I80" i="1"/>
  <c r="O69" i="1"/>
  <c r="O186" i="1"/>
  <c r="O79" i="1"/>
  <c r="K80" i="1"/>
  <c r="M80" i="1"/>
  <c r="R191" i="1"/>
  <c r="R190" i="1" s="1"/>
  <c r="O80" i="1"/>
  <c r="K27" i="1"/>
  <c r="AE80" i="1"/>
  <c r="W80" i="1"/>
  <c r="W27" i="1"/>
  <c r="AC27" i="1"/>
  <c r="M27" i="1"/>
  <c r="AK27" i="1"/>
  <c r="I27" i="1"/>
  <c r="AE14" i="1"/>
  <c r="AE6" i="1"/>
  <c r="AE10" i="1"/>
  <c r="AE16" i="1"/>
  <c r="AE18" i="1"/>
  <c r="AE5" i="1"/>
  <c r="AE4" i="1"/>
  <c r="AE8" i="1"/>
  <c r="AM13" i="1"/>
  <c r="AE23" i="1"/>
  <c r="AE21" i="1"/>
  <c r="AE12" i="1"/>
  <c r="AE11" i="1"/>
  <c r="AM16" i="1"/>
  <c r="AE15" i="1"/>
  <c r="AM6" i="1"/>
  <c r="AE9" i="1"/>
  <c r="AA22" i="1"/>
  <c r="AA25" i="1"/>
  <c r="AA12" i="1"/>
  <c r="AA11" i="1"/>
  <c r="AA23" i="1"/>
  <c r="AA18" i="1"/>
  <c r="AA16" i="1"/>
  <c r="AA7" i="1"/>
  <c r="AA26" i="1"/>
  <c r="AA187" i="1"/>
  <c r="AA20" i="1"/>
  <c r="AA6" i="1"/>
  <c r="AA19" i="1"/>
  <c r="AA15" i="1"/>
  <c r="AA17" i="1"/>
  <c r="AA21" i="1"/>
  <c r="AA186" i="1"/>
  <c r="AA14" i="1"/>
  <c r="AA9" i="1"/>
  <c r="AA91" i="1"/>
  <c r="AA10" i="1"/>
  <c r="AA13" i="1"/>
  <c r="AA8" i="1"/>
  <c r="AA89" i="1"/>
  <c r="AG22" i="1"/>
  <c r="AG18" i="1"/>
  <c r="AG20" i="1"/>
  <c r="AG6" i="1"/>
  <c r="AG10" i="1"/>
  <c r="AG186" i="1"/>
  <c r="AG8" i="1"/>
  <c r="AG9" i="1"/>
  <c r="AG16" i="1"/>
  <c r="AG7" i="1"/>
  <c r="AG11" i="1"/>
  <c r="AG19" i="1"/>
  <c r="AG187" i="1"/>
  <c r="AG23" i="1"/>
  <c r="AG12" i="1"/>
  <c r="AG89" i="1"/>
  <c r="AG17" i="1"/>
  <c r="AG14" i="1"/>
  <c r="AG26" i="1"/>
  <c r="AG21" i="1"/>
  <c r="AG91" i="1"/>
  <c r="AG13" i="1"/>
  <c r="AG25" i="1"/>
  <c r="AG15" i="1"/>
  <c r="AI22" i="1"/>
  <c r="AI23" i="1"/>
  <c r="AI91" i="1"/>
  <c r="AI17" i="1"/>
  <c r="AI12" i="1"/>
  <c r="AI186" i="1"/>
  <c r="AI16" i="1"/>
  <c r="AI21" i="1"/>
  <c r="AI20" i="1"/>
  <c r="AI25" i="1"/>
  <c r="AI19" i="1"/>
  <c r="AI9" i="1"/>
  <c r="AI14" i="1"/>
  <c r="AI15" i="1"/>
  <c r="AI11" i="1"/>
  <c r="AI7" i="1"/>
  <c r="AI89" i="1"/>
  <c r="AI6" i="1"/>
  <c r="AI8" i="1"/>
  <c r="AI10" i="1"/>
  <c r="AI26" i="1"/>
  <c r="AI13" i="1"/>
  <c r="AI187" i="1"/>
  <c r="AI18" i="1"/>
  <c r="AE7" i="1"/>
  <c r="AE13" i="1"/>
  <c r="AE19" i="1"/>
  <c r="AE17" i="1"/>
  <c r="AM9" i="1"/>
  <c r="AM19" i="1"/>
  <c r="AM17" i="1"/>
  <c r="AM7" i="1"/>
  <c r="AM18" i="1"/>
  <c r="AM10" i="1"/>
  <c r="AM14" i="1"/>
  <c r="AM23" i="1"/>
  <c r="AM25" i="1"/>
  <c r="AM21" i="1"/>
  <c r="AM5" i="1"/>
  <c r="AM11" i="1"/>
  <c r="AM8" i="1"/>
  <c r="AM12" i="1"/>
  <c r="AM15" i="1"/>
  <c r="U80" i="1"/>
  <c r="AN5" i="1"/>
  <c r="AN6" i="1" s="1"/>
  <c r="AN13" i="1"/>
  <c r="AN8" i="1"/>
  <c r="AN9" i="1"/>
  <c r="AN7" i="1"/>
  <c r="AN14" i="1"/>
  <c r="O5" i="1"/>
  <c r="AN19" i="1"/>
  <c r="W18" i="1"/>
  <c r="AN18" i="1"/>
  <c r="L20" i="2"/>
  <c r="L14" i="2"/>
  <c r="L11" i="2"/>
  <c r="L12" i="2"/>
  <c r="L25" i="2"/>
  <c r="L15" i="2"/>
  <c r="L8" i="2"/>
  <c r="L13" i="2"/>
  <c r="L24" i="2"/>
  <c r="L23" i="2"/>
  <c r="L16" i="2"/>
  <c r="L9" i="2"/>
  <c r="L21" i="2"/>
  <c r="L22" i="2"/>
  <c r="L7" i="2"/>
  <c r="L6" i="2"/>
  <c r="L10" i="2"/>
  <c r="AJ20" i="2"/>
  <c r="AK20" i="2" s="1"/>
  <c r="P193" i="1" l="1"/>
  <c r="P191" i="1" s="1"/>
  <c r="P190" i="1" s="1"/>
  <c r="Q187" i="1"/>
  <c r="V187" i="1"/>
  <c r="T193" i="1"/>
  <c r="T191" i="1" s="1"/>
  <c r="T190" i="1" s="1"/>
  <c r="U187" i="1"/>
  <c r="AD187" i="1"/>
  <c r="Y187" i="1"/>
  <c r="X193" i="1"/>
  <c r="X191" i="1" s="1"/>
  <c r="X190" i="1" s="1"/>
  <c r="AE27" i="1"/>
  <c r="AI27" i="1"/>
  <c r="AA27" i="1"/>
  <c r="AG27" i="1"/>
  <c r="AM27" i="1"/>
  <c r="O7" i="1"/>
  <c r="O24" i="1"/>
  <c r="O21" i="1"/>
  <c r="O26" i="1"/>
  <c r="O22" i="1"/>
  <c r="O20" i="1"/>
  <c r="AN16" i="1"/>
  <c r="AN11" i="1"/>
  <c r="AN20" i="1"/>
  <c r="O4" i="1"/>
  <c r="AE187" i="1" l="1"/>
  <c r="AD195" i="1"/>
  <c r="W187" i="1"/>
  <c r="V195" i="1"/>
  <c r="AN27" i="1"/>
  <c r="O25" i="1"/>
  <c r="O23" i="1"/>
  <c r="O16" i="1"/>
  <c r="O8" i="1"/>
  <c r="O18" i="1"/>
  <c r="O13" i="1"/>
  <c r="O89" i="1"/>
  <c r="O9" i="1"/>
  <c r="O10" i="1"/>
  <c r="O91" i="1"/>
  <c r="O14" i="1"/>
  <c r="O17" i="1"/>
  <c r="O11" i="1"/>
  <c r="O19" i="1"/>
  <c r="O6" i="1"/>
  <c r="O15" i="1"/>
  <c r="O12" i="1"/>
  <c r="AO78" i="1" l="1"/>
  <c r="AN80" i="1"/>
  <c r="AO80" i="1" s="1"/>
  <c r="AO69" i="1"/>
  <c r="AO79" i="1"/>
  <c r="AO186" i="1"/>
  <c r="O27" i="1"/>
  <c r="N177" i="1" l="1"/>
  <c r="AN177" i="1" s="1"/>
  <c r="J191" i="1"/>
  <c r="J190" i="1" s="1"/>
  <c r="N187" i="1" l="1"/>
  <c r="O187" i="1" s="1"/>
  <c r="AN187" i="1" l="1"/>
  <c r="AO187" i="1" s="1"/>
  <c r="I174" i="1" l="1"/>
  <c r="H175" i="1"/>
  <c r="H188" i="1"/>
  <c r="H197" i="1" l="1"/>
  <c r="I197" i="1" s="1"/>
  <c r="I189" i="1"/>
  <c r="I175" i="1"/>
  <c r="H196" i="1"/>
  <c r="I188" i="1"/>
  <c r="AL103" i="1"/>
  <c r="V103" i="1"/>
  <c r="AD103" i="1"/>
  <c r="AB175" i="1"/>
  <c r="AC175" i="1" s="1"/>
  <c r="AH194" i="1"/>
  <c r="R194" i="1"/>
  <c r="N103" i="1"/>
  <c r="Z188" i="1"/>
  <c r="Z196" i="1" s="1"/>
  <c r="T175" i="1"/>
  <c r="U175" i="1" s="1"/>
  <c r="J175" i="1"/>
  <c r="L189" i="1"/>
  <c r="Y174" i="1"/>
  <c r="P189" i="1"/>
  <c r="AF188" i="1"/>
  <c r="AF196" i="1" s="1"/>
  <c r="AK174" i="1"/>
  <c r="P197" i="1" l="1"/>
  <c r="Q197" i="1" s="1"/>
  <c r="J189" i="1"/>
  <c r="N189" i="1" s="1"/>
  <c r="N197" i="1" s="1"/>
  <c r="O197" i="1" s="1"/>
  <c r="R175" i="1"/>
  <c r="S175" i="1" s="1"/>
  <c r="AN103" i="1"/>
  <c r="X175" i="1"/>
  <c r="Y175" i="1" s="1"/>
  <c r="AJ188" i="1"/>
  <c r="P188" i="1"/>
  <c r="P196" i="1" s="1"/>
  <c r="AJ194" i="1"/>
  <c r="AD174" i="1"/>
  <c r="AE174" i="1" s="1"/>
  <c r="AB189" i="1"/>
  <c r="AH175" i="1"/>
  <c r="AI175" i="1" s="1"/>
  <c r="AB188" i="1"/>
  <c r="X189" i="1"/>
  <c r="X188" i="1"/>
  <c r="AG174" i="1"/>
  <c r="Z194" i="1"/>
  <c r="R197" i="1"/>
  <c r="AA188" i="1"/>
  <c r="K175" i="1"/>
  <c r="Q189" i="1"/>
  <c r="AG188" i="1"/>
  <c r="M189" i="1"/>
  <c r="L197" i="1"/>
  <c r="M197" i="1" s="1"/>
  <c r="U174" i="1"/>
  <c r="AF194" i="1"/>
  <c r="T188" i="1"/>
  <c r="P194" i="1"/>
  <c r="AL174" i="1"/>
  <c r="AM174" i="1" s="1"/>
  <c r="AF175" i="1"/>
  <c r="L188" i="1"/>
  <c r="AI174" i="1"/>
  <c r="R188" i="1"/>
  <c r="V174" i="1"/>
  <c r="W174" i="1" s="1"/>
  <c r="AJ175" i="1"/>
  <c r="AK175" i="1" s="1"/>
  <c r="T194" i="1"/>
  <c r="Z175" i="1"/>
  <c r="AF189" i="1"/>
  <c r="AF197" i="1" s="1"/>
  <c r="AG197" i="1" s="1"/>
  <c r="P175" i="1"/>
  <c r="M174" i="1"/>
  <c r="AC174" i="1"/>
  <c r="Z189" i="1"/>
  <c r="X194" i="1"/>
  <c r="T189" i="1"/>
  <c r="AJ189" i="1"/>
  <c r="AH189" i="1"/>
  <c r="AH188" i="1"/>
  <c r="AA174" i="1"/>
  <c r="AB194" i="1"/>
  <c r="S174" i="1"/>
  <c r="K174" i="1"/>
  <c r="L175" i="1"/>
  <c r="M175" i="1" s="1"/>
  <c r="L194" i="1"/>
  <c r="J188" i="1"/>
  <c r="N174" i="1"/>
  <c r="AN174" i="1" s="1"/>
  <c r="Q174" i="1"/>
  <c r="K189" i="1" l="1"/>
  <c r="S189" i="1"/>
  <c r="S197" i="1"/>
  <c r="AA189" i="1"/>
  <c r="Z197" i="1"/>
  <c r="AA197" i="1" s="1"/>
  <c r="Y188" i="1"/>
  <c r="X196" i="1"/>
  <c r="Y189" i="1"/>
  <c r="X197" i="1"/>
  <c r="Y197" i="1" s="1"/>
  <c r="S188" i="1"/>
  <c r="R196" i="1"/>
  <c r="AC188" i="1"/>
  <c r="AB196" i="1"/>
  <c r="AC189" i="1"/>
  <c r="AB197" i="1"/>
  <c r="AC197" i="1" s="1"/>
  <c r="Q188" i="1"/>
  <c r="AI188" i="1"/>
  <c r="AH196" i="1"/>
  <c r="U188" i="1"/>
  <c r="T196" i="1"/>
  <c r="AK188" i="1"/>
  <c r="AJ196" i="1"/>
  <c r="AI189" i="1"/>
  <c r="AH197" i="1"/>
  <c r="AI197" i="1" s="1"/>
  <c r="AK189" i="1"/>
  <c r="AJ197" i="1"/>
  <c r="AK197" i="1" s="1"/>
  <c r="U189" i="1"/>
  <c r="T197" i="1"/>
  <c r="U197" i="1" s="1"/>
  <c r="J197" i="1"/>
  <c r="K197" i="1" s="1"/>
  <c r="O189" i="1"/>
  <c r="N175" i="1"/>
  <c r="O175" i="1" s="1"/>
  <c r="AD188" i="1"/>
  <c r="AD175" i="1"/>
  <c r="AE175" i="1" s="1"/>
  <c r="AA175" i="1"/>
  <c r="O174" i="1"/>
  <c r="N195" i="1"/>
  <c r="AN195" i="1"/>
  <c r="AD189" i="1"/>
  <c r="AL188" i="1"/>
  <c r="V188" i="1"/>
  <c r="V189" i="1"/>
  <c r="V197" i="1" s="1"/>
  <c r="W197" i="1" s="1"/>
  <c r="L196" i="1"/>
  <c r="M188" i="1"/>
  <c r="V175" i="1"/>
  <c r="W175" i="1" s="1"/>
  <c r="Q175" i="1"/>
  <c r="AG189" i="1"/>
  <c r="AL189" i="1"/>
  <c r="J196" i="1"/>
  <c r="K188" i="1"/>
  <c r="N188" i="1"/>
  <c r="AL175" i="1"/>
  <c r="AM175" i="1" s="1"/>
  <c r="AG175" i="1"/>
  <c r="AE189" i="1" l="1"/>
  <c r="AD197" i="1"/>
  <c r="AE197" i="1" s="1"/>
  <c r="W188" i="1"/>
  <c r="V196" i="1"/>
  <c r="AM188" i="1"/>
  <c r="AL196" i="1"/>
  <c r="AE188" i="1"/>
  <c r="AD196" i="1"/>
  <c r="AM189" i="1"/>
  <c r="AL197" i="1"/>
  <c r="AM197" i="1" s="1"/>
  <c r="O188" i="1"/>
  <c r="AN188" i="1"/>
  <c r="AN196" i="1" s="1"/>
  <c r="N196" i="1"/>
  <c r="AN175" i="1"/>
  <c r="AO175" i="1" s="1"/>
  <c r="AO174" i="1"/>
  <c r="W189" i="1"/>
  <c r="AN189" i="1"/>
  <c r="AO188" i="1" l="1"/>
  <c r="AO189" i="1"/>
  <c r="AN197" i="1"/>
  <c r="AO19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BNS박혜영</author>
    <author>박선영</author>
    <author>김혜진</author>
  </authors>
  <commentList>
    <comment ref="E4" authorId="0" shapeId="0" xr:uid="{6F856751-BAAE-4D4E-BB85-ED14719E46DE}">
      <text>
        <r>
          <rPr>
            <b/>
            <sz val="11"/>
            <color rgb="FF000000"/>
            <rFont val="Tahoma"/>
            <family val="2"/>
          </rPr>
          <t>BNS</t>
        </r>
        <r>
          <rPr>
            <b/>
            <sz val="11"/>
            <color rgb="FF000000"/>
            <rFont val="돋움"/>
            <family val="2"/>
            <charset val="129"/>
          </rPr>
          <t>박혜영</t>
        </r>
        <r>
          <rPr>
            <b/>
            <sz val="11"/>
            <color rgb="FF000000"/>
            <rFont val="Tahoma"/>
            <family val="2"/>
          </rPr>
          <t>:</t>
        </r>
        <r>
          <rPr>
            <sz val="11"/>
            <color rgb="FF000000"/>
            <rFont val="Tahoma"/>
            <family val="2"/>
          </rPr>
          <t xml:space="preserve">
</t>
        </r>
        <r>
          <rPr>
            <sz val="11"/>
            <color rgb="FF000000"/>
            <rFont val="돋움"/>
            <family val="2"/>
            <charset val="129"/>
          </rPr>
          <t>내부확인용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자료</t>
        </r>
        <r>
          <rPr>
            <sz val="11"/>
            <color rgb="FF000000"/>
            <rFont val="돋움"/>
            <family val="2"/>
            <charset val="129"/>
          </rPr>
          <t xml:space="preserve">
</t>
        </r>
        <r>
          <rPr>
            <sz val="11"/>
            <color rgb="FF000000"/>
            <rFont val="돋움"/>
            <family val="2"/>
            <charset val="129"/>
          </rPr>
          <t>실제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회계처리</t>
        </r>
        <r>
          <rPr>
            <sz val="11"/>
            <color rgb="FF000000"/>
            <rFont val="Tahoma"/>
            <family val="2"/>
          </rPr>
          <t xml:space="preserve"> : </t>
        </r>
        <r>
          <rPr>
            <sz val="11"/>
            <color rgb="FF000000"/>
            <rFont val="돋움"/>
            <family val="2"/>
            <charset val="129"/>
          </rPr>
          <t>가운원가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섬유자산으로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산입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후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감가상각</t>
        </r>
        <r>
          <rPr>
            <sz val="11"/>
            <color rgb="FF000000"/>
            <rFont val="돋움"/>
            <family val="2"/>
            <charset val="129"/>
          </rPr>
          <t xml:space="preserve">
</t>
        </r>
        <r>
          <rPr>
            <sz val="11"/>
            <color rgb="FF000000"/>
            <rFont val="Tahoma"/>
            <family val="2"/>
          </rPr>
          <t>=</t>
        </r>
        <r>
          <rPr>
            <sz val="11"/>
            <color rgb="FF000000"/>
            <rFont val="돋움"/>
            <family val="2"/>
            <charset val="129"/>
          </rPr>
          <t>현재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파일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합계에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반영</t>
        </r>
        <r>
          <rPr>
            <sz val="11"/>
            <color rgb="FF000000"/>
            <rFont val="Tahoma"/>
            <family val="2"/>
          </rPr>
          <t xml:space="preserve">X
</t>
        </r>
      </text>
    </comment>
    <comment ref="E5" authorId="0" shapeId="0" xr:uid="{E34405D6-E977-B249-A8CC-79B06F5552A6}">
      <text>
        <r>
          <rPr>
            <b/>
            <sz val="11"/>
            <color rgb="FF000000"/>
            <rFont val="Tahoma"/>
            <family val="2"/>
          </rPr>
          <t>BNS</t>
        </r>
        <r>
          <rPr>
            <b/>
            <sz val="11"/>
            <color rgb="FF000000"/>
            <rFont val="돋움"/>
            <family val="2"/>
            <charset val="129"/>
          </rPr>
          <t>박혜영</t>
        </r>
        <r>
          <rPr>
            <b/>
            <sz val="11"/>
            <color rgb="FF000000"/>
            <rFont val="Tahoma"/>
            <family val="2"/>
          </rPr>
          <t>:</t>
        </r>
        <r>
          <rPr>
            <sz val="11"/>
            <color rgb="FF000000"/>
            <rFont val="Tahoma"/>
            <family val="2"/>
          </rPr>
          <t xml:space="preserve">
</t>
        </r>
        <r>
          <rPr>
            <sz val="11"/>
            <color rgb="FF000000"/>
            <rFont val="돋움"/>
            <family val="2"/>
            <charset val="129"/>
          </rPr>
          <t>내부확인용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자료</t>
        </r>
        <r>
          <rPr>
            <sz val="11"/>
            <color rgb="FF000000"/>
            <rFont val="돋움"/>
            <family val="2"/>
            <charset val="129"/>
          </rPr>
          <t xml:space="preserve">
</t>
        </r>
        <r>
          <rPr>
            <sz val="11"/>
            <color rgb="FF000000"/>
            <rFont val="돋움"/>
            <family val="2"/>
            <charset val="129"/>
          </rPr>
          <t>실제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회계처리</t>
        </r>
        <r>
          <rPr>
            <sz val="11"/>
            <color rgb="FF000000"/>
            <rFont val="Tahoma"/>
            <family val="2"/>
          </rPr>
          <t xml:space="preserve"> : </t>
        </r>
        <r>
          <rPr>
            <sz val="11"/>
            <color rgb="FF000000"/>
            <rFont val="돋움"/>
            <family val="2"/>
            <charset val="129"/>
          </rPr>
          <t>가운원가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섬유자산으로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산입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후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감가상각</t>
        </r>
        <r>
          <rPr>
            <sz val="11"/>
            <color rgb="FF000000"/>
            <rFont val="돋움"/>
            <family val="2"/>
            <charset val="129"/>
          </rPr>
          <t xml:space="preserve">
</t>
        </r>
        <r>
          <rPr>
            <sz val="11"/>
            <color rgb="FF000000"/>
            <rFont val="Tahoma"/>
            <family val="2"/>
          </rPr>
          <t>=</t>
        </r>
        <r>
          <rPr>
            <sz val="11"/>
            <color rgb="FF000000"/>
            <rFont val="돋움"/>
            <family val="2"/>
            <charset val="129"/>
          </rPr>
          <t>현재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파일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합계에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반영</t>
        </r>
        <r>
          <rPr>
            <sz val="11"/>
            <color rgb="FF000000"/>
            <rFont val="Tahoma"/>
            <family val="2"/>
          </rPr>
          <t xml:space="preserve">X
</t>
        </r>
      </text>
    </comment>
    <comment ref="G7" authorId="0" shapeId="0" xr:uid="{87E33CEE-088E-4548-ADCD-0D1C44F32F46}">
      <text>
        <r>
          <rPr>
            <b/>
            <sz val="9"/>
            <color indexed="81"/>
            <rFont val="Tahoma"/>
            <family val="2"/>
          </rPr>
          <t>BNS</t>
        </r>
        <r>
          <rPr>
            <b/>
            <sz val="9"/>
            <color indexed="81"/>
            <rFont val="돋움"/>
            <family val="3"/>
            <charset val="129"/>
          </rPr>
          <t>박혜영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스테리케어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마감내역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中
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병원의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대시트부터</t>
        </r>
        <r>
          <rPr>
            <sz val="9"/>
            <color indexed="81"/>
            <rFont val="Tahoma"/>
            <family val="2"/>
          </rPr>
          <t xml:space="preserve"> 24 </t>
        </r>
        <r>
          <rPr>
            <sz val="9"/>
            <color indexed="81"/>
            <rFont val="돋움"/>
            <family val="3"/>
            <charset val="129"/>
          </rPr>
          <t>신생아포까지의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공급가액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  <comment ref="H7" authorId="0" shapeId="0" xr:uid="{EF433901-1F9E-442A-9261-953C5B055377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스테리케어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마감내역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中
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병원의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대시트부터</t>
        </r>
        <r>
          <rPr>
            <sz val="11"/>
            <color indexed="81"/>
            <rFont val="Tahoma"/>
            <family val="2"/>
          </rPr>
          <t xml:space="preserve"> 24 </t>
        </r>
        <r>
          <rPr>
            <sz val="11"/>
            <color indexed="81"/>
            <rFont val="돋움"/>
            <family val="3"/>
            <charset val="129"/>
          </rPr>
          <t>신생아포까지의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공급가액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합계</t>
        </r>
      </text>
    </comment>
    <comment ref="G8" authorId="0" shapeId="0" xr:uid="{C8F69B1D-CD6B-4FF0-838E-D5F0F44A5493}">
      <text>
        <r>
          <rPr>
            <b/>
            <sz val="9"/>
            <color rgb="FF000000"/>
            <rFont val="Tahoma"/>
            <family val="2"/>
          </rPr>
          <t>BNS</t>
        </r>
        <r>
          <rPr>
            <b/>
            <sz val="9"/>
            <color rgb="FF000000"/>
            <rFont val="돋움"/>
            <family val="2"/>
            <charset val="129"/>
          </rPr>
          <t>박혜영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>스테리케어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마감내역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中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>렌탈멸균가운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2"/>
            <charset val="129"/>
          </rPr>
          <t>파랑</t>
        </r>
        <r>
          <rPr>
            <sz val="9"/>
            <color rgb="FF000000"/>
            <rFont val="Tahoma"/>
            <family val="2"/>
          </rPr>
          <t>+</t>
        </r>
        <r>
          <rPr>
            <sz val="9"/>
            <color rgb="FF000000"/>
            <rFont val="돋움"/>
            <family val="2"/>
            <charset val="129"/>
          </rPr>
          <t>보라</t>
        </r>
        <r>
          <rPr>
            <sz val="9"/>
            <color rgb="FF000000"/>
            <rFont val="Tahoma"/>
            <family val="2"/>
          </rPr>
          <t xml:space="preserve">) </t>
        </r>
        <r>
          <rPr>
            <sz val="9"/>
            <color rgb="FF000000"/>
            <rFont val="돋움"/>
            <family val="2"/>
            <charset val="129"/>
          </rPr>
          <t>공급가액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합계</t>
        </r>
      </text>
    </comment>
    <comment ref="H8" authorId="0" shapeId="0" xr:uid="{D248FEC5-EE33-43BA-A4E1-E9D67006F24D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스테리케어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마감내역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中
렌탈멸균가운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파랑</t>
        </r>
        <r>
          <rPr>
            <sz val="11"/>
            <color indexed="81"/>
            <rFont val="Tahoma"/>
            <family val="2"/>
          </rPr>
          <t>+</t>
        </r>
        <r>
          <rPr>
            <sz val="11"/>
            <color indexed="81"/>
            <rFont val="돋움"/>
            <family val="3"/>
            <charset val="129"/>
          </rPr>
          <t>보라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공급가액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합계</t>
        </r>
      </text>
    </comment>
    <comment ref="G9" authorId="0" shapeId="0" xr:uid="{90E8650C-A7C2-4E34-9FE2-2B3B1ABE44BE}">
      <text>
        <r>
          <rPr>
            <b/>
            <sz val="9"/>
            <color rgb="FF000000"/>
            <rFont val="Tahoma"/>
            <family val="2"/>
          </rPr>
          <t>BNS</t>
        </r>
        <r>
          <rPr>
            <b/>
            <sz val="9"/>
            <color rgb="FF000000"/>
            <rFont val="돋움"/>
            <family val="2"/>
            <charset val="129"/>
          </rPr>
          <t>박혜영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>스테리케어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마감내역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中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>렌탈비멸균가운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2"/>
            <charset val="129"/>
          </rPr>
          <t>노랑</t>
        </r>
        <r>
          <rPr>
            <sz val="9"/>
            <color rgb="FF000000"/>
            <rFont val="Tahoma"/>
            <family val="2"/>
          </rPr>
          <t>)+</t>
        </r>
        <r>
          <rPr>
            <sz val="9"/>
            <color rgb="FF000000"/>
            <rFont val="돋움"/>
            <family val="2"/>
            <charset val="129"/>
          </rPr>
          <t>경량</t>
        </r>
        <r>
          <rPr>
            <sz val="9"/>
            <color rgb="FF000000"/>
            <rFont val="Tahoma"/>
            <family val="2"/>
          </rPr>
          <t xml:space="preserve"> Isolation Gown </t>
        </r>
        <r>
          <rPr>
            <sz val="9"/>
            <color rgb="FF000000"/>
            <rFont val="돋움"/>
            <family val="2"/>
            <charset val="129"/>
          </rPr>
          <t>공급가액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합계</t>
        </r>
      </text>
    </comment>
    <comment ref="H9" authorId="0" shapeId="0" xr:uid="{77C8E6A4-6DA9-4C4A-B826-3AAA3BA6554A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스테리케어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마감내역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中
렌탈비멸균가운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노랑</t>
        </r>
        <r>
          <rPr>
            <sz val="11"/>
            <color indexed="81"/>
            <rFont val="Tahoma"/>
            <family val="2"/>
          </rPr>
          <t>)+</t>
        </r>
        <r>
          <rPr>
            <sz val="11"/>
            <color indexed="81"/>
            <rFont val="돋움"/>
            <family val="3"/>
            <charset val="129"/>
          </rPr>
          <t>경량</t>
        </r>
        <r>
          <rPr>
            <sz val="11"/>
            <color indexed="81"/>
            <rFont val="Tahoma"/>
            <family val="2"/>
          </rPr>
          <t xml:space="preserve"> Isolation Gown </t>
        </r>
        <r>
          <rPr>
            <sz val="11"/>
            <color indexed="81"/>
            <rFont val="돋움"/>
            <family val="3"/>
            <charset val="129"/>
          </rPr>
          <t>공급가액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합계</t>
        </r>
      </text>
    </comment>
    <comment ref="H12" authorId="0" shapeId="0" xr:uid="{93A9CAB9-D847-4DA0-97DA-535A79D97DD4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스테리케어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마감내역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中
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병원의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대시트부터</t>
        </r>
        <r>
          <rPr>
            <sz val="11"/>
            <color indexed="81"/>
            <rFont val="Tahoma"/>
            <family val="2"/>
          </rPr>
          <t xml:space="preserve"> 24 </t>
        </r>
        <r>
          <rPr>
            <sz val="11"/>
            <color indexed="81"/>
            <rFont val="돋움"/>
            <family val="3"/>
            <charset val="129"/>
          </rPr>
          <t>신생아포까지의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공급가액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합계</t>
        </r>
      </text>
    </comment>
    <comment ref="H13" authorId="0" shapeId="0" xr:uid="{5DF9BB1B-922F-4434-AE2B-B840165C01FA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스테리케어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마감내역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中
렌탈멸균가운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파랑</t>
        </r>
        <r>
          <rPr>
            <sz val="11"/>
            <color indexed="81"/>
            <rFont val="Tahoma"/>
            <family val="2"/>
          </rPr>
          <t>+</t>
        </r>
        <r>
          <rPr>
            <sz val="11"/>
            <color indexed="81"/>
            <rFont val="돋움"/>
            <family val="3"/>
            <charset val="129"/>
          </rPr>
          <t>보라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공급가액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합계</t>
        </r>
      </text>
    </comment>
    <comment ref="H14" authorId="0" shapeId="0" xr:uid="{E3B8748E-31CC-4522-944A-7E431FF25CFD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스테리케어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마감내역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中
렌탈비멸균가운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노랑</t>
        </r>
        <r>
          <rPr>
            <sz val="11"/>
            <color indexed="81"/>
            <rFont val="Tahoma"/>
            <family val="2"/>
          </rPr>
          <t>)+</t>
        </r>
        <r>
          <rPr>
            <sz val="11"/>
            <color indexed="81"/>
            <rFont val="돋움"/>
            <family val="3"/>
            <charset val="129"/>
          </rPr>
          <t>경량</t>
        </r>
        <r>
          <rPr>
            <sz val="11"/>
            <color indexed="81"/>
            <rFont val="Tahoma"/>
            <family val="2"/>
          </rPr>
          <t xml:space="preserve"> Isolation Gown </t>
        </r>
        <r>
          <rPr>
            <sz val="11"/>
            <color indexed="81"/>
            <rFont val="돋움"/>
            <family val="3"/>
            <charset val="129"/>
          </rPr>
          <t>공급가액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합계</t>
        </r>
      </text>
    </comment>
    <comment ref="F17" authorId="0" shapeId="0" xr:uid="{306B7DDF-CE17-44EF-A93B-34A298B34511}">
      <text>
        <r>
          <rPr>
            <b/>
            <sz val="11"/>
            <color rgb="FF000000"/>
            <rFont val="Tahoma"/>
            <family val="2"/>
          </rPr>
          <t>BNS</t>
        </r>
        <r>
          <rPr>
            <b/>
            <sz val="11"/>
            <color rgb="FF000000"/>
            <rFont val="돋움"/>
            <family val="2"/>
            <charset val="129"/>
          </rPr>
          <t>박혜영</t>
        </r>
        <r>
          <rPr>
            <b/>
            <sz val="11"/>
            <color rgb="FF000000"/>
            <rFont val="Tahoma"/>
            <family val="2"/>
          </rPr>
          <t>:</t>
        </r>
        <r>
          <rPr>
            <sz val="11"/>
            <color rgb="FF000000"/>
            <rFont val="Tahoma"/>
            <family val="2"/>
          </rPr>
          <t xml:space="preserve">
</t>
        </r>
        <r>
          <rPr>
            <sz val="11"/>
            <color rgb="FF000000"/>
            <rFont val="돋움"/>
            <family val="2"/>
            <charset val="129"/>
          </rPr>
          <t>병원과의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세탁계약은</t>
        </r>
        <r>
          <rPr>
            <sz val="11"/>
            <color rgb="FF000000"/>
            <rFont val="Tahoma"/>
            <family val="2"/>
          </rPr>
          <t xml:space="preserve"> X
</t>
        </r>
        <r>
          <rPr>
            <sz val="11"/>
            <color rgb="FF000000"/>
            <rFont val="돋움"/>
            <family val="2"/>
            <charset val="129"/>
          </rPr>
          <t>기존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메디탁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계약기간이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남아있어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잔여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계약기간동안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메디탁을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중간에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껴서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진행</t>
        </r>
        <r>
          <rPr>
            <sz val="11"/>
            <color rgb="FF000000"/>
            <rFont val="돋움"/>
            <family val="2"/>
            <charset val="129"/>
          </rPr>
          <t xml:space="preserve">
</t>
        </r>
        <r>
          <rPr>
            <sz val="11"/>
            <color rgb="FF000000"/>
            <rFont val="돋움"/>
            <family val="2"/>
            <charset val="129"/>
          </rPr>
          <t>세금계산서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발급도</t>
        </r>
        <r>
          <rPr>
            <sz val="11"/>
            <color rgb="FF000000"/>
            <rFont val="Tahoma"/>
            <family val="2"/>
          </rPr>
          <t xml:space="preserve">, </t>
        </r>
        <r>
          <rPr>
            <sz val="11"/>
            <color rgb="FF000000"/>
            <rFont val="돋움"/>
            <family val="2"/>
            <charset val="129"/>
          </rPr>
          <t>대금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입금도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메디탁에서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할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예정</t>
        </r>
        <r>
          <rPr>
            <sz val="11"/>
            <color rgb="FF000000"/>
            <rFont val="돋움"/>
            <family val="2"/>
            <charset val="129"/>
          </rPr>
          <t xml:space="preserve">
</t>
        </r>
        <r>
          <rPr>
            <sz val="11"/>
            <color rgb="FF000000"/>
            <rFont val="돋움"/>
            <family val="2"/>
            <charset val="129"/>
          </rPr>
          <t xml:space="preserve">
</t>
        </r>
        <r>
          <rPr>
            <sz val="11"/>
            <color rgb="FF000000"/>
            <rFont val="돋움"/>
            <family val="2"/>
            <charset val="129"/>
          </rPr>
          <t>허균흉부외과</t>
        </r>
        <r>
          <rPr>
            <sz val="11"/>
            <color rgb="FF000000"/>
            <rFont val="Tahoma"/>
            <family val="2"/>
          </rPr>
          <t xml:space="preserve"> &lt;-&gt; </t>
        </r>
        <r>
          <rPr>
            <sz val="11"/>
            <color rgb="FF000000"/>
            <rFont val="돋움"/>
            <family val="2"/>
            <charset val="129"/>
          </rPr>
          <t>메디탁</t>
        </r>
        <r>
          <rPr>
            <sz val="11"/>
            <color rgb="FF000000"/>
            <rFont val="Tahoma"/>
            <family val="2"/>
          </rPr>
          <t xml:space="preserve"> &lt;-&gt; </t>
        </r>
        <r>
          <rPr>
            <sz val="11"/>
            <color rgb="FF000000"/>
            <rFont val="돋움"/>
            <family val="2"/>
            <charset val="129"/>
          </rPr>
          <t>스테리케어</t>
        </r>
        <r>
          <rPr>
            <sz val="11"/>
            <color rgb="FF000000"/>
            <rFont val="돋움"/>
            <family val="2"/>
            <charset val="129"/>
          </rPr>
          <t xml:space="preserve">
</t>
        </r>
        <r>
          <rPr>
            <sz val="11"/>
            <color rgb="FF000000"/>
            <rFont val="돋움"/>
            <family val="2"/>
            <charset val="129"/>
          </rPr>
          <t xml:space="preserve">
</t>
        </r>
        <r>
          <rPr>
            <sz val="11"/>
            <color rgb="FF000000"/>
            <rFont val="돋움"/>
            <family val="2"/>
            <charset val="129"/>
          </rPr>
          <t>그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외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건들도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마찬가지</t>
        </r>
        <r>
          <rPr>
            <sz val="11"/>
            <color rgb="FF000000"/>
            <rFont val="돋움"/>
            <family val="2"/>
            <charset val="129"/>
          </rPr>
          <t xml:space="preserve">
</t>
        </r>
        <r>
          <rPr>
            <sz val="11"/>
            <color rgb="FF000000"/>
            <rFont val="돋움"/>
            <family val="2"/>
            <charset val="129"/>
          </rPr>
          <t xml:space="preserve">
</t>
        </r>
        <r>
          <rPr>
            <sz val="11"/>
            <color rgb="FF000000"/>
            <rFont val="돋움"/>
            <family val="2"/>
            <charset val="129"/>
          </rPr>
          <t>★</t>
        </r>
        <r>
          <rPr>
            <sz val="11"/>
            <color rgb="FF000000"/>
            <rFont val="Tahoma"/>
            <family val="2"/>
          </rPr>
          <t>26</t>
        </r>
        <r>
          <rPr>
            <sz val="11"/>
            <color rgb="FF000000"/>
            <rFont val="돋움"/>
            <family val="2"/>
            <charset val="129"/>
          </rPr>
          <t>년</t>
        </r>
        <r>
          <rPr>
            <sz val="11"/>
            <color rgb="FF000000"/>
            <rFont val="Tahoma"/>
            <family val="2"/>
          </rPr>
          <t xml:space="preserve"> 2</t>
        </r>
        <r>
          <rPr>
            <sz val="11"/>
            <color rgb="FF000000"/>
            <rFont val="돋움"/>
            <family val="2"/>
            <charset val="129"/>
          </rPr>
          <t>월</t>
        </r>
        <r>
          <rPr>
            <sz val="11"/>
            <color rgb="FF000000"/>
            <rFont val="Tahoma"/>
            <family val="2"/>
          </rPr>
          <t xml:space="preserve"> </t>
        </r>
        <r>
          <rPr>
            <sz val="11"/>
            <color rgb="FF000000"/>
            <rFont val="돋움"/>
            <family val="2"/>
            <charset val="129"/>
          </rPr>
          <t>세탁종료</t>
        </r>
      </text>
    </comment>
    <comment ref="G18" authorId="0" shapeId="0" xr:uid="{B26A1D94-C894-4AA1-A349-FA203B801C6F}">
      <text>
        <r>
          <rPr>
            <b/>
            <sz val="12"/>
            <color rgb="FF000000"/>
            <rFont val="Tahoma"/>
            <family val="2"/>
          </rPr>
          <t>BNS</t>
        </r>
        <r>
          <rPr>
            <b/>
            <sz val="12"/>
            <color rgb="FF000000"/>
            <rFont val="돋움"/>
            <family val="2"/>
            <charset val="129"/>
          </rPr>
          <t>박혜영</t>
        </r>
        <r>
          <rPr>
            <b/>
            <sz val="12"/>
            <color rgb="FF000000"/>
            <rFont val="Tahoma"/>
            <family val="2"/>
          </rPr>
          <t>: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>25.11.17</t>
        </r>
        <r>
          <rPr>
            <sz val="12"/>
            <color rgb="FF000000"/>
            <rFont val="돋움"/>
            <family val="2"/>
            <charset val="129"/>
          </rPr>
          <t>부터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세탁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시작</t>
        </r>
        <r>
          <rPr>
            <sz val="12"/>
            <color rgb="FF000000"/>
            <rFont val="Tahoma"/>
            <family val="2"/>
          </rPr>
          <t xml:space="preserve"> (11</t>
        </r>
        <r>
          <rPr>
            <sz val="12"/>
            <color rgb="FF000000"/>
            <rFont val="돋움"/>
            <family val="2"/>
            <charset val="129"/>
          </rPr>
          <t>월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세탁분</t>
        </r>
        <r>
          <rPr>
            <sz val="12"/>
            <color rgb="FF000000"/>
            <rFont val="Tahoma"/>
            <family val="2"/>
          </rPr>
          <t xml:space="preserve"> : 13</t>
        </r>
        <r>
          <rPr>
            <sz val="12"/>
            <color rgb="FF000000"/>
            <rFont val="돋움"/>
            <family val="2"/>
            <charset val="129"/>
          </rPr>
          <t>일</t>
        </r>
        <r>
          <rPr>
            <sz val="12"/>
            <color rgb="FF000000"/>
            <rFont val="Tahoma"/>
            <family val="2"/>
          </rPr>
          <t xml:space="preserve">)
</t>
        </r>
        <r>
          <rPr>
            <sz val="12"/>
            <color rgb="FF000000"/>
            <rFont val="돋움"/>
            <family val="2"/>
            <charset val="129"/>
          </rPr>
          <t>총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계약금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b/>
            <sz val="12"/>
            <color rgb="FF000000"/>
            <rFont val="Tahoma"/>
            <family val="2"/>
          </rPr>
          <t>110</t>
        </r>
        <r>
          <rPr>
            <b/>
            <sz val="12"/>
            <color rgb="FF000000"/>
            <rFont val="돋움"/>
            <family val="2"/>
            <charset val="129"/>
          </rPr>
          <t>만원</t>
        </r>
        <r>
          <rPr>
            <b/>
            <sz val="12"/>
            <color rgb="FF000000"/>
            <rFont val="Tahoma"/>
            <family val="2"/>
          </rPr>
          <t>(VAT</t>
        </r>
        <r>
          <rPr>
            <b/>
            <sz val="12"/>
            <color rgb="FF000000"/>
            <rFont val="돋움"/>
            <family val="2"/>
            <charset val="129"/>
          </rPr>
          <t>별도</t>
        </r>
        <r>
          <rPr>
            <b/>
            <sz val="12"/>
            <color rgb="FF000000"/>
            <rFont val="Tahoma"/>
            <family val="2"/>
          </rPr>
          <t>)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 *</t>
        </r>
        <r>
          <rPr>
            <sz val="12"/>
            <color rgb="FF000000"/>
            <rFont val="돋움"/>
            <family val="2"/>
            <charset val="129"/>
          </rPr>
          <t>배송기사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수수료</t>
        </r>
        <r>
          <rPr>
            <sz val="12"/>
            <color rgb="FF000000"/>
            <rFont val="Tahoma"/>
            <family val="2"/>
          </rPr>
          <t xml:space="preserve"> 20% </t>
        </r>
        <r>
          <rPr>
            <sz val="12"/>
            <color rgb="FF000000"/>
            <rFont val="돋움"/>
            <family val="2"/>
            <charset val="129"/>
          </rPr>
          <t>공제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후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입금</t>
        </r>
        <r>
          <rPr>
            <sz val="12"/>
            <color rgb="FF000000"/>
            <rFont val="돋움"/>
            <family val="2"/>
            <charset val="129"/>
          </rPr>
          <t xml:space="preserve">
</t>
        </r>
        <r>
          <rPr>
            <sz val="12"/>
            <color rgb="FF000000"/>
            <rFont val="돋움"/>
            <family val="2"/>
            <charset val="129"/>
          </rPr>
          <t xml:space="preserve">
</t>
        </r>
        <r>
          <rPr>
            <sz val="12"/>
            <color rgb="FF000000"/>
            <rFont val="Tahoma"/>
            <family val="2"/>
          </rPr>
          <t>12</t>
        </r>
        <r>
          <rPr>
            <sz val="12"/>
            <color rgb="FF000000"/>
            <rFont val="돋움"/>
            <family val="2"/>
            <charset val="129"/>
          </rPr>
          <t>월부터</t>
        </r>
        <r>
          <rPr>
            <sz val="12"/>
            <color rgb="FF000000"/>
            <rFont val="돋움"/>
            <family val="2"/>
            <charset val="129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= (1,100,000*20%)*1.1
</t>
        </r>
        <r>
          <rPr>
            <sz val="12"/>
            <color rgb="FF000000"/>
            <rFont val="Tahoma"/>
            <family val="2"/>
          </rPr>
          <t>= 968,000</t>
        </r>
        <r>
          <rPr>
            <sz val="12"/>
            <color rgb="FF000000"/>
            <rFont val="돋움"/>
            <family val="2"/>
            <charset val="129"/>
          </rPr>
          <t>원</t>
        </r>
      </text>
    </comment>
    <comment ref="G19" authorId="0" shapeId="0" xr:uid="{636F3C80-9BD2-4D03-B496-5AA339CEB3F2}">
      <text>
        <r>
          <rPr>
            <b/>
            <sz val="12"/>
            <color rgb="FF000000"/>
            <rFont val="Tahoma"/>
            <family val="2"/>
          </rPr>
          <t>BNS</t>
        </r>
        <r>
          <rPr>
            <b/>
            <sz val="12"/>
            <color rgb="FF000000"/>
            <rFont val="돋움"/>
            <family val="2"/>
            <charset val="129"/>
          </rPr>
          <t>박혜영</t>
        </r>
        <r>
          <rPr>
            <b/>
            <sz val="12"/>
            <color rgb="FF000000"/>
            <rFont val="Tahoma"/>
            <family val="2"/>
          </rPr>
          <t>: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>25.11.17</t>
        </r>
        <r>
          <rPr>
            <sz val="12"/>
            <color rgb="FF000000"/>
            <rFont val="돋움"/>
            <family val="2"/>
            <charset val="129"/>
          </rPr>
          <t>부터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세탁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시작</t>
        </r>
        <r>
          <rPr>
            <sz val="12"/>
            <color rgb="FF000000"/>
            <rFont val="Tahoma"/>
            <family val="2"/>
          </rPr>
          <t xml:space="preserve"> (11</t>
        </r>
        <r>
          <rPr>
            <sz val="12"/>
            <color rgb="FF000000"/>
            <rFont val="돋움"/>
            <family val="2"/>
            <charset val="129"/>
          </rPr>
          <t>월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세탁분</t>
        </r>
        <r>
          <rPr>
            <sz val="12"/>
            <color rgb="FF000000"/>
            <rFont val="Tahoma"/>
            <family val="2"/>
          </rPr>
          <t xml:space="preserve"> : 13</t>
        </r>
        <r>
          <rPr>
            <sz val="12"/>
            <color rgb="FF000000"/>
            <rFont val="돋움"/>
            <family val="2"/>
            <charset val="129"/>
          </rPr>
          <t>일</t>
        </r>
        <r>
          <rPr>
            <sz val="12"/>
            <color rgb="FF000000"/>
            <rFont val="Tahoma"/>
            <family val="2"/>
          </rPr>
          <t xml:space="preserve">)
</t>
        </r>
        <r>
          <rPr>
            <sz val="12"/>
            <color rgb="FF000000"/>
            <rFont val="돋움"/>
            <family val="2"/>
            <charset val="129"/>
          </rPr>
          <t>총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계약금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b/>
            <sz val="12"/>
            <color rgb="FF000000"/>
            <rFont val="Tahoma"/>
            <family val="2"/>
          </rPr>
          <t>2,181,818</t>
        </r>
        <r>
          <rPr>
            <b/>
            <sz val="12"/>
            <color rgb="FF000000"/>
            <rFont val="돋움"/>
            <family val="2"/>
            <charset val="129"/>
          </rPr>
          <t>원</t>
        </r>
        <r>
          <rPr>
            <b/>
            <sz val="12"/>
            <color rgb="FF000000"/>
            <rFont val="Tahoma"/>
            <family val="2"/>
          </rPr>
          <t>(VAT</t>
        </r>
        <r>
          <rPr>
            <b/>
            <sz val="12"/>
            <color rgb="FF000000"/>
            <rFont val="돋움"/>
            <family val="2"/>
            <charset val="129"/>
          </rPr>
          <t>별도</t>
        </r>
        <r>
          <rPr>
            <b/>
            <sz val="12"/>
            <color rgb="FF000000"/>
            <rFont val="Tahoma"/>
            <family val="2"/>
          </rPr>
          <t>)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 *</t>
        </r>
        <r>
          <rPr>
            <sz val="12"/>
            <color rgb="FF000000"/>
            <rFont val="돋움"/>
            <family val="2"/>
            <charset val="129"/>
          </rPr>
          <t>배송기사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수수료</t>
        </r>
        <r>
          <rPr>
            <sz val="12"/>
            <color rgb="FF000000"/>
            <rFont val="Tahoma"/>
            <family val="2"/>
          </rPr>
          <t xml:space="preserve"> 20% </t>
        </r>
        <r>
          <rPr>
            <sz val="12"/>
            <color rgb="FF000000"/>
            <rFont val="돋움"/>
            <family val="2"/>
            <charset val="129"/>
          </rPr>
          <t>공제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후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입금</t>
        </r>
        <r>
          <rPr>
            <sz val="12"/>
            <color rgb="FF000000"/>
            <rFont val="돋움"/>
            <family val="2"/>
            <charset val="129"/>
          </rPr>
          <t xml:space="preserve">
</t>
        </r>
        <r>
          <rPr>
            <sz val="12"/>
            <color rgb="FF000000"/>
            <rFont val="돋움"/>
            <family val="2"/>
            <charset val="129"/>
          </rPr>
          <t xml:space="preserve">
</t>
        </r>
        <r>
          <rPr>
            <sz val="12"/>
            <color rgb="FF000000"/>
            <rFont val="Tahoma"/>
            <family val="2"/>
          </rPr>
          <t>12</t>
        </r>
        <r>
          <rPr>
            <sz val="12"/>
            <color rgb="FF000000"/>
            <rFont val="돋움"/>
            <family val="2"/>
            <charset val="129"/>
          </rPr>
          <t>월부터</t>
        </r>
        <r>
          <rPr>
            <sz val="12"/>
            <color rgb="FF000000"/>
            <rFont val="돋움"/>
            <family val="2"/>
            <charset val="129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= (2,181,818*20%)*1.1
</t>
        </r>
        <r>
          <rPr>
            <sz val="12"/>
            <color rgb="FF000000"/>
            <rFont val="Tahoma"/>
            <family val="2"/>
          </rPr>
          <t>= 1,920,000</t>
        </r>
        <r>
          <rPr>
            <sz val="12"/>
            <color rgb="FF000000"/>
            <rFont val="돋움"/>
            <family val="2"/>
            <charset val="129"/>
          </rPr>
          <t>원</t>
        </r>
        <r>
          <rPr>
            <sz val="12"/>
            <color rgb="FF000000"/>
            <rFont val="돋움"/>
            <family val="2"/>
            <charset val="129"/>
          </rPr>
          <t xml:space="preserve">
</t>
        </r>
      </text>
    </comment>
    <comment ref="F21" authorId="0" shapeId="0" xr:uid="{3F4993A9-EB67-4B11-A627-2B85F598266C}">
      <text>
        <r>
          <rPr>
            <b/>
            <sz val="10"/>
            <color rgb="FF000000"/>
            <rFont val="Tahoma"/>
            <family val="2"/>
          </rPr>
          <t>BNS</t>
        </r>
        <r>
          <rPr>
            <b/>
            <sz val="10"/>
            <color rgb="FF000000"/>
            <rFont val="돋움"/>
            <family val="2"/>
            <charset val="129"/>
          </rPr>
          <t>박혜영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26</t>
        </r>
        <r>
          <rPr>
            <sz val="10"/>
            <color rgb="FF000000"/>
            <rFont val="돋움"/>
            <family val="2"/>
            <charset val="129"/>
          </rPr>
          <t>년</t>
        </r>
        <r>
          <rPr>
            <sz val="10"/>
            <color rgb="FF000000"/>
            <rFont val="Tahoma"/>
            <family val="2"/>
          </rPr>
          <t xml:space="preserve"> 1</t>
        </r>
        <r>
          <rPr>
            <sz val="10"/>
            <color rgb="FF000000"/>
            <rFont val="돋움"/>
            <family val="2"/>
            <charset val="129"/>
          </rPr>
          <t>월부터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돋움"/>
            <family val="2"/>
            <charset val="129"/>
          </rPr>
          <t>시작</t>
        </r>
      </text>
    </comment>
    <comment ref="F23" authorId="0" shapeId="0" xr:uid="{7A2F1445-C781-4AC1-B725-5DEBD2BA4B14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26</t>
        </r>
        <r>
          <rPr>
            <sz val="10"/>
            <color indexed="81"/>
            <rFont val="돋움"/>
            <family val="3"/>
            <charset val="129"/>
          </rPr>
          <t>년</t>
        </r>
        <r>
          <rPr>
            <sz val="10"/>
            <color indexed="81"/>
            <rFont val="Tahoma"/>
            <family val="2"/>
          </rPr>
          <t xml:space="preserve"> 3</t>
        </r>
        <r>
          <rPr>
            <sz val="10"/>
            <color indexed="81"/>
            <rFont val="돋움"/>
            <family val="3"/>
            <charset val="129"/>
          </rPr>
          <t>월부터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시작</t>
        </r>
      </text>
    </comment>
    <comment ref="J23" authorId="0" shapeId="0" xr:uid="{74D0626D-882C-4386-B0CD-5243029AA644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단발성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세탁건
</t>
        </r>
      </text>
    </comment>
    <comment ref="L23" authorId="0" shapeId="0" xr:uid="{C3DF93D7-CA56-44AF-AF62-42C575DABC49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정기계약건</t>
        </r>
        <r>
          <rPr>
            <sz val="10"/>
            <color indexed="81"/>
            <rFont val="Tahoma"/>
            <family val="2"/>
          </rPr>
          <t xml:space="preserve"> : 4,818,182</t>
        </r>
        <r>
          <rPr>
            <sz val="10"/>
            <color indexed="81"/>
            <rFont val="돋움"/>
            <family val="3"/>
            <charset val="129"/>
          </rPr>
          <t>원
단발성</t>
        </r>
        <r>
          <rPr>
            <sz val="10"/>
            <color indexed="81"/>
            <rFont val="Tahoma"/>
            <family val="2"/>
          </rPr>
          <t xml:space="preserve"> : 490,909</t>
        </r>
        <r>
          <rPr>
            <sz val="10"/>
            <color indexed="81"/>
            <rFont val="돋움"/>
            <family val="3"/>
            <charset val="129"/>
          </rPr>
          <t>원</t>
        </r>
      </text>
    </comment>
    <comment ref="F25" authorId="0" shapeId="0" xr:uid="{EB3373E1-74B1-4CCE-BC68-4D6D98646187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26</t>
        </r>
        <r>
          <rPr>
            <sz val="10"/>
            <color indexed="81"/>
            <rFont val="돋움"/>
            <family val="3"/>
            <charset val="129"/>
          </rPr>
          <t>년</t>
        </r>
        <r>
          <rPr>
            <sz val="10"/>
            <color indexed="81"/>
            <rFont val="Tahoma"/>
            <family val="2"/>
          </rPr>
          <t xml:space="preserve"> 3</t>
        </r>
        <r>
          <rPr>
            <sz val="10"/>
            <color indexed="81"/>
            <rFont val="돋움"/>
            <family val="3"/>
            <charset val="129"/>
          </rPr>
          <t>월부터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시작</t>
        </r>
      </text>
    </comment>
    <comment ref="F29" authorId="1" shapeId="0" xr:uid="{1C4E2970-FAB6-4F63-A25D-5DF547A0000F}">
      <text>
        <r>
          <rPr>
            <sz val="9"/>
            <color indexed="81"/>
            <rFont val="Tahoma"/>
            <family val="2"/>
          </rPr>
          <t xml:space="preserve">2024.02~04
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부천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월수금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배송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세탁</t>
        </r>
        <r>
          <rPr>
            <sz val="9"/>
            <color indexed="81"/>
            <rFont val="Tahoma"/>
            <family val="2"/>
          </rPr>
          <t xml:space="preserve"> 
2024.05~
</t>
        </r>
        <r>
          <rPr>
            <sz val="9"/>
            <color indexed="81"/>
            <rFont val="돋움"/>
            <family val="3"/>
            <charset val="129"/>
          </rPr>
          <t>부천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월수금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배송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부천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세탁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F33" authorId="1" shapeId="0" xr:uid="{15D2407A-F94F-4E2F-B9E2-8C503B7FCD5E}">
      <text>
        <r>
          <rPr>
            <sz val="9"/>
            <color indexed="81"/>
            <rFont val="Tahoma"/>
            <family val="2"/>
          </rPr>
          <t xml:space="preserve">2023.06.15 </t>
        </r>
        <r>
          <rPr>
            <sz val="9"/>
            <color indexed="81"/>
            <rFont val="돋움"/>
            <family val="3"/>
            <charset val="129"/>
          </rPr>
          <t>입사</t>
        </r>
      </text>
    </comment>
    <comment ref="F34" authorId="2" shapeId="0" xr:uid="{BBE03CBB-549A-4C91-A006-33E314532C17}">
      <text>
        <r>
          <rPr>
            <b/>
            <sz val="9"/>
            <color indexed="81"/>
            <rFont val="돋움"/>
            <family val="3"/>
            <charset val="129"/>
          </rPr>
          <t>김혜진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24.04.29 </t>
        </r>
        <r>
          <rPr>
            <sz val="9"/>
            <color indexed="81"/>
            <rFont val="돋움"/>
            <family val="3"/>
            <charset val="129"/>
          </rPr>
          <t>입사</t>
        </r>
      </text>
    </comment>
    <comment ref="J40" authorId="0" shapeId="0" xr:uid="{0A6200D5-7BFD-463A-AF43-BEF8677428E4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2/07~3/08</t>
        </r>
        <r>
          <rPr>
            <sz val="11"/>
            <color indexed="81"/>
            <rFont val="돋움"/>
            <family val="3"/>
            <charset val="129"/>
          </rPr>
          <t>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휴직</t>
        </r>
      </text>
    </comment>
    <comment ref="J43" authorId="0" shapeId="0" xr:uid="{46680EBC-EBE2-40BF-8895-90EF8ADB08D8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2/20 </t>
        </r>
        <r>
          <rPr>
            <sz val="11"/>
            <color indexed="81"/>
            <rFont val="돋움"/>
            <family val="3"/>
            <charset val="129"/>
          </rPr>
          <t>퇴사</t>
        </r>
      </text>
    </comment>
    <comment ref="L44" authorId="0" shapeId="0" xr:uid="{11A7101A-044B-4391-A4C3-6F1398C60A70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3/09 </t>
        </r>
        <r>
          <rPr>
            <sz val="10"/>
            <color indexed="81"/>
            <rFont val="돋움"/>
            <family val="3"/>
            <charset val="129"/>
          </rPr>
          <t>퇴사</t>
        </r>
      </text>
    </comment>
    <comment ref="P46" authorId="0" shapeId="0" xr:uid="{FEC82FDD-570F-4F28-8214-9B45152A98A1}">
      <text>
        <r>
          <rPr>
            <b/>
            <sz val="9"/>
            <color indexed="81"/>
            <rFont val="Tahoma"/>
            <family val="2"/>
          </rPr>
          <t>BNS</t>
        </r>
        <r>
          <rPr>
            <b/>
            <sz val="9"/>
            <color indexed="81"/>
            <rFont val="돋움"/>
            <family val="3"/>
            <charset val="129"/>
          </rPr>
          <t>박혜영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쿠마</t>
        </r>
        <r>
          <rPr>
            <sz val="9"/>
            <color indexed="81"/>
            <rFont val="Tahoma"/>
            <family val="2"/>
          </rPr>
          <t xml:space="preserve"> 4/30 </t>
        </r>
        <r>
          <rPr>
            <sz val="9"/>
            <color indexed="81"/>
            <rFont val="돋움"/>
            <family val="3"/>
            <charset val="129"/>
          </rPr>
          <t>체류자격외활동허가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완료
</t>
        </r>
        <r>
          <rPr>
            <sz val="9"/>
            <color indexed="81"/>
            <rFont val="Tahoma"/>
            <family val="2"/>
          </rPr>
          <t xml:space="preserve">5/01 </t>
        </r>
        <r>
          <rPr>
            <sz val="9"/>
            <color indexed="81"/>
            <rFont val="돋움"/>
            <family val="3"/>
            <charset val="129"/>
          </rPr>
          <t>정식입사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</text>
    </comment>
    <comment ref="H49" authorId="0" shapeId="0" xr:uid="{1F5EBBC6-BD98-489A-A969-BC05F3B6C080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2025</t>
        </r>
        <r>
          <rPr>
            <sz val="12"/>
            <color indexed="81"/>
            <rFont val="돋움"/>
            <family val="3"/>
            <charset val="129"/>
          </rPr>
          <t>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귀속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잔여연차수당</t>
        </r>
      </text>
    </comment>
    <comment ref="P49" authorId="0" shapeId="0" xr:uid="{75E411F0-FABF-4362-B827-7889FED0E02D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잔여연차수당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지급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권혁</t>
        </r>
        <r>
          <rPr>
            <sz val="12"/>
            <color indexed="81"/>
            <rFont val="Tahoma"/>
            <family val="2"/>
          </rPr>
          <t xml:space="preserve">(4/10 </t>
        </r>
        <r>
          <rPr>
            <sz val="12"/>
            <color indexed="81"/>
            <rFont val="돋움"/>
            <family val="3"/>
            <charset val="129"/>
          </rPr>
          <t>퇴사</t>
        </r>
        <r>
          <rPr>
            <sz val="12"/>
            <color indexed="81"/>
            <rFont val="Tahoma"/>
            <family val="2"/>
          </rPr>
          <t>) : 1,307,814</t>
        </r>
        <r>
          <rPr>
            <sz val="12"/>
            <color indexed="81"/>
            <rFont val="돋움"/>
            <family val="3"/>
            <charset val="129"/>
          </rPr>
          <t>원
전계룡</t>
        </r>
        <r>
          <rPr>
            <sz val="12"/>
            <color indexed="81"/>
            <rFont val="Tahoma"/>
            <family val="2"/>
          </rPr>
          <t xml:space="preserve">(4/24 </t>
        </r>
        <r>
          <rPr>
            <sz val="12"/>
            <color indexed="81"/>
            <rFont val="돋움"/>
            <family val="3"/>
            <charset val="129"/>
          </rPr>
          <t>퇴사</t>
        </r>
        <r>
          <rPr>
            <sz val="12"/>
            <color indexed="81"/>
            <rFont val="Tahoma"/>
            <family val="2"/>
          </rPr>
          <t>) : 2,232,854</t>
        </r>
        <r>
          <rPr>
            <sz val="12"/>
            <color indexed="81"/>
            <rFont val="돋움"/>
            <family val="3"/>
            <charset val="129"/>
          </rPr>
          <t>원</t>
        </r>
      </text>
    </comment>
    <comment ref="L51" authorId="0" shapeId="0" xr:uid="{953EB417-8E69-43D7-AA6B-B612E1B04EE8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불법고용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부담분</t>
        </r>
        <r>
          <rPr>
            <sz val="10"/>
            <color indexed="81"/>
            <rFont val="Tahoma"/>
            <family val="2"/>
          </rPr>
          <t>(400,164</t>
        </r>
        <r>
          <rPr>
            <sz val="10"/>
            <color indexed="81"/>
            <rFont val="돋움"/>
            <family val="3"/>
            <charset val="129"/>
          </rPr>
          <t>원</t>
        </r>
        <r>
          <rPr>
            <sz val="10"/>
            <color indexed="81"/>
            <rFont val="Tahoma"/>
            <family val="2"/>
          </rPr>
          <t xml:space="preserve">) </t>
        </r>
        <r>
          <rPr>
            <sz val="10"/>
            <color indexed="81"/>
            <rFont val="돋움"/>
            <family val="3"/>
            <charset val="129"/>
          </rPr>
          <t>공제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금액</t>
        </r>
      </text>
    </comment>
    <comment ref="P64" authorId="0" shapeId="0" xr:uid="{53CCCF08-7657-4056-9514-B7C6ACEA96E0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건강보험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연말정산</t>
        </r>
      </text>
    </comment>
    <comment ref="F70" authorId="2" shapeId="0" xr:uid="{D438F104-5AED-400C-AFE3-DA329B6E6608}">
      <text>
        <r>
          <rPr>
            <b/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맑은 고딕"/>
            <family val="3"/>
            <charset val="129"/>
          </rPr>
          <t>1. 김계순 (23/06/15~25/03/31) 퇴직금 추계액 : 4,505,587원
   1년9개월17일 (656일)
   퇴사직전 3개월 기준 급여로 퇴직금 산정되므로,
   (25년 1월 지급된 잔여연차수당과 25년 2월 급여차감분
   (여사님들 1시간 조기 퇴근 건) 제외)후 평월 급여로 산정함
2. 박우생 (24/02/01~25/03/31) 퇴직금 추계액 : 5,821,894원
   1년 2개월 (425일)
   위와 같은 사유로 잔여연차수당 제외한 평월 급여로 산정</t>
        </r>
      </text>
    </comment>
    <comment ref="F71" authorId="2" shapeId="0" xr:uid="{8BF171B9-DB03-4BA7-861C-5636559ADEC2}">
      <text>
        <r>
          <rPr>
            <b/>
            <sz val="12"/>
            <color indexed="81"/>
            <rFont val="맑은 고딕"/>
            <family val="3"/>
            <charset val="129"/>
          </rPr>
          <t xml:space="preserve">김혜진:
</t>
        </r>
        <r>
          <rPr>
            <sz val="12"/>
            <color indexed="81"/>
            <rFont val="맑은 고딕"/>
            <family val="3"/>
            <charset val="129"/>
          </rPr>
          <t xml:space="preserve">
1. 김계순 (23/06/15~25/03/31) 퇴직금 추계액 : 4,505,587원
   1년9개월17일 (656일)
   퇴사직전 3개월 기준 급여로 퇴직금 산정되므로,
   (25년 1월 지급된 잔여연차수당과 25년 2월 급여차감분
   (여사님들 1시간 조기 퇴근 건) 제외)후 평월 급여로 산정함
2. 박우생 (24/02/01~25/03/31) 퇴직금 추계액 : 5,821,894원
   1년 2개월 (425일)
   위와 같은 사유로 잔여연차수당 제외한 평월 급여로 산정</t>
        </r>
      </text>
    </comment>
    <comment ref="F82" authorId="1" shapeId="0" xr:uid="{9A55E94F-462C-4353-ABAC-A3983626C6D9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함초롬돋움"/>
            <family val="3"/>
            <charset val="129"/>
          </rPr>
          <t>DB손해보험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2" authorId="2" shapeId="0" xr:uid="{505496F7-DDD6-42C0-BE94-0F10AA79537D}">
      <text>
        <r>
          <rPr>
            <b/>
            <sz val="12"/>
            <color indexed="81"/>
            <rFont val="돋움"/>
            <family val="3"/>
            <charset val="129"/>
          </rPr>
          <t>김혜진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1.</t>
        </r>
        <r>
          <rPr>
            <sz val="12"/>
            <color indexed="81"/>
            <rFont val="돋움"/>
            <family val="3"/>
            <charset val="129"/>
          </rPr>
          <t>보험가입기간</t>
        </r>
        <r>
          <rPr>
            <sz val="12"/>
            <color indexed="81"/>
            <rFont val="Tahoma"/>
            <family val="2"/>
          </rPr>
          <t xml:space="preserve"> : 2024.04.23~2025.04.23
2.</t>
        </r>
        <r>
          <rPr>
            <sz val="12"/>
            <color indexed="81"/>
            <rFont val="돋움"/>
            <family val="3"/>
            <charset val="129"/>
          </rPr>
          <t>지급일</t>
        </r>
        <r>
          <rPr>
            <sz val="12"/>
            <color indexed="81"/>
            <rFont val="Tahoma"/>
            <family val="2"/>
          </rPr>
          <t xml:space="preserve"> : 2024.06.04 (</t>
        </r>
        <r>
          <rPr>
            <sz val="12"/>
            <color indexed="81"/>
            <rFont val="돋움"/>
            <family val="3"/>
            <charset val="129"/>
          </rPr>
          <t>일괄지급</t>
        </r>
        <r>
          <rPr>
            <sz val="12"/>
            <color indexed="81"/>
            <rFont val="Tahoma"/>
            <family val="2"/>
          </rPr>
          <t>)
3.</t>
        </r>
        <r>
          <rPr>
            <sz val="12"/>
            <color indexed="81"/>
            <rFont val="돋움"/>
            <family val="3"/>
            <charset val="129"/>
          </rPr>
          <t>특이사항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박우생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팀장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중도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퇴사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시</t>
        </r>
        <r>
          <rPr>
            <sz val="12"/>
            <color indexed="81"/>
            <rFont val="Tahoma"/>
            <family val="2"/>
          </rPr>
          <t xml:space="preserve">, 
</t>
        </r>
        <r>
          <rPr>
            <sz val="12"/>
            <color indexed="81"/>
            <rFont val="돋움"/>
            <family val="3"/>
            <charset val="129"/>
          </rPr>
          <t>보험료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지원금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잔여일수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계산해서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급여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차감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것</t>
        </r>
        <r>
          <rPr>
            <sz val="12"/>
            <color indexed="81"/>
            <rFont val="Tahoma"/>
            <family val="2"/>
          </rPr>
          <t xml:space="preserve">!!
4. </t>
        </r>
        <r>
          <rPr>
            <sz val="12"/>
            <color indexed="81"/>
            <rFont val="돋움"/>
            <family val="3"/>
            <charset val="129"/>
          </rPr>
          <t>보장내역</t>
        </r>
        <r>
          <rPr>
            <sz val="12"/>
            <color indexed="81"/>
            <rFont val="Tahoma"/>
            <family val="2"/>
          </rPr>
          <t xml:space="preserve"> (DB</t>
        </r>
        <r>
          <rPr>
            <sz val="12"/>
            <color indexed="81"/>
            <rFont val="돋움"/>
            <family val="3"/>
            <charset val="129"/>
          </rPr>
          <t>손해보험</t>
        </r>
        <r>
          <rPr>
            <sz val="12"/>
            <color indexed="81"/>
            <rFont val="Tahoma"/>
            <family val="2"/>
          </rPr>
          <t xml:space="preserve">)
</t>
        </r>
        <r>
          <rPr>
            <sz val="12"/>
            <color indexed="81"/>
            <rFont val="돋움"/>
            <family val="3"/>
            <charset val="129"/>
          </rPr>
          <t>대인배상</t>
        </r>
        <r>
          <rPr>
            <sz val="12"/>
            <color indexed="81"/>
            <rFont val="Tahoma"/>
            <family val="2"/>
          </rPr>
          <t xml:space="preserve"> 1</t>
        </r>
        <r>
          <rPr>
            <sz val="12"/>
            <color indexed="81"/>
            <rFont val="돋움"/>
            <family val="3"/>
            <charset val="129"/>
          </rPr>
          <t>인당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무한
대물배상</t>
        </r>
        <r>
          <rPr>
            <sz val="12"/>
            <color indexed="81"/>
            <rFont val="Tahoma"/>
            <family val="2"/>
          </rPr>
          <t xml:space="preserve"> 1</t>
        </r>
        <r>
          <rPr>
            <sz val="12"/>
            <color indexed="81"/>
            <rFont val="돋움"/>
            <family val="3"/>
            <charset val="129"/>
          </rPr>
          <t>사고당</t>
        </r>
        <r>
          <rPr>
            <sz val="12"/>
            <color indexed="81"/>
            <rFont val="Tahoma"/>
            <family val="2"/>
          </rPr>
          <t xml:space="preserve"> 5</t>
        </r>
        <r>
          <rPr>
            <sz val="12"/>
            <color indexed="81"/>
            <rFont val="돋움"/>
            <family val="3"/>
            <charset val="129"/>
          </rPr>
          <t>억원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한도
긴급출동서비스</t>
        </r>
        <r>
          <rPr>
            <sz val="12"/>
            <color indexed="81"/>
            <rFont val="Tahoma"/>
            <family val="2"/>
          </rPr>
          <t xml:space="preserve"> 6</t>
        </r>
        <r>
          <rPr>
            <sz val="12"/>
            <color indexed="81"/>
            <rFont val="돋움"/>
            <family val="3"/>
            <charset val="129"/>
          </rPr>
          <t>회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차량점검</t>
        </r>
        <r>
          <rPr>
            <sz val="12"/>
            <color indexed="81"/>
            <rFont val="Tahoma"/>
            <family val="2"/>
          </rPr>
          <t xml:space="preserve"> 1</t>
        </r>
        <r>
          <rPr>
            <sz val="12"/>
            <color indexed="81"/>
            <rFont val="돋움"/>
            <family val="3"/>
            <charset val="129"/>
          </rPr>
          <t>회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긴급견인</t>
        </r>
        <r>
          <rPr>
            <sz val="12"/>
            <color indexed="81"/>
            <rFont val="Tahoma"/>
            <family val="2"/>
          </rPr>
          <t xml:space="preserve"> 60km</t>
        </r>
      </text>
    </comment>
    <comment ref="J100" authorId="0" shapeId="0" xr:uid="{4449AF85-B417-4D77-82ED-EF1991BB9810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허균은</t>
        </r>
        <r>
          <rPr>
            <sz val="10"/>
            <color indexed="81"/>
            <rFont val="Tahoma"/>
            <family val="2"/>
          </rPr>
          <t xml:space="preserve"> 2</t>
        </r>
        <r>
          <rPr>
            <sz val="10"/>
            <color indexed="81"/>
            <rFont val="돋움"/>
            <family val="3"/>
            <charset val="129"/>
          </rPr>
          <t>월로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종료
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월부터는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뉴고려</t>
        </r>
        <r>
          <rPr>
            <sz val="10"/>
            <color indexed="81"/>
            <rFont val="Tahoma"/>
            <family val="2"/>
          </rPr>
          <t xml:space="preserve"> 120</t>
        </r>
        <r>
          <rPr>
            <sz val="10"/>
            <color indexed="81"/>
            <rFont val="돋움"/>
            <family val="3"/>
            <charset val="129"/>
          </rPr>
          <t>만원</t>
        </r>
        <r>
          <rPr>
            <sz val="10"/>
            <color indexed="81"/>
            <rFont val="Tahoma"/>
            <family val="2"/>
          </rPr>
          <t xml:space="preserve"> + </t>
        </r>
        <r>
          <rPr>
            <sz val="10"/>
            <color indexed="81"/>
            <rFont val="돋움"/>
            <family val="3"/>
            <charset val="129"/>
          </rPr>
          <t>일산중심</t>
        </r>
        <r>
          <rPr>
            <sz val="10"/>
            <color indexed="81"/>
            <rFont val="Tahoma"/>
            <family val="2"/>
          </rPr>
          <t xml:space="preserve"> 60</t>
        </r>
        <r>
          <rPr>
            <sz val="10"/>
            <color indexed="81"/>
            <rFont val="돋움"/>
            <family val="3"/>
            <charset val="129"/>
          </rPr>
          <t xml:space="preserve">만원
</t>
        </r>
        <r>
          <rPr>
            <sz val="10"/>
            <color indexed="81"/>
            <rFont val="Tahoma"/>
            <family val="2"/>
          </rPr>
          <t>=</t>
        </r>
        <r>
          <rPr>
            <sz val="10"/>
            <color indexed="81"/>
            <rFont val="돋움"/>
            <family val="3"/>
            <charset val="129"/>
          </rPr>
          <t>총</t>
        </r>
        <r>
          <rPr>
            <sz val="10"/>
            <color indexed="81"/>
            <rFont val="Tahoma"/>
            <family val="2"/>
          </rPr>
          <t xml:space="preserve"> 180</t>
        </r>
        <r>
          <rPr>
            <sz val="10"/>
            <color indexed="81"/>
            <rFont val="돋움"/>
            <family val="3"/>
            <charset val="129"/>
          </rPr>
          <t>만</t>
        </r>
        <r>
          <rPr>
            <sz val="10"/>
            <color indexed="81"/>
            <rFont val="Tahoma"/>
            <family val="2"/>
          </rPr>
          <t>(VAT</t>
        </r>
        <r>
          <rPr>
            <sz val="10"/>
            <color indexed="81"/>
            <rFont val="돋움"/>
            <family val="3"/>
            <charset val="129"/>
          </rPr>
          <t>미포함</t>
        </r>
        <r>
          <rPr>
            <sz val="10"/>
            <color indexed="81"/>
            <rFont val="Tahoma"/>
            <family val="2"/>
          </rPr>
          <t>)</t>
        </r>
      </text>
    </comment>
    <comment ref="L100" authorId="0" shapeId="0" xr:uid="{CB5B1C32-6471-44CE-AA49-C5F51062BCDC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뉴고려</t>
        </r>
        <r>
          <rPr>
            <sz val="10"/>
            <color indexed="81"/>
            <rFont val="Tahoma"/>
            <family val="2"/>
          </rPr>
          <t>+</t>
        </r>
        <r>
          <rPr>
            <sz val="10"/>
            <color indexed="81"/>
            <rFont val="돋움"/>
            <family val="3"/>
            <charset val="129"/>
          </rPr>
          <t>일산중심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정액</t>
        </r>
        <r>
          <rPr>
            <sz val="10"/>
            <color indexed="81"/>
            <rFont val="Tahoma"/>
            <family val="2"/>
          </rPr>
          <t xml:space="preserve"> : 180</t>
        </r>
        <r>
          <rPr>
            <sz val="10"/>
            <color indexed="81"/>
            <rFont val="돋움"/>
            <family val="3"/>
            <charset val="129"/>
          </rPr>
          <t xml:space="preserve">만원
</t>
        </r>
        <r>
          <rPr>
            <sz val="10"/>
            <color indexed="81"/>
            <rFont val="Tahoma"/>
            <family val="2"/>
          </rPr>
          <t>+2/27~2/28 2</t>
        </r>
        <r>
          <rPr>
            <sz val="10"/>
            <color indexed="81"/>
            <rFont val="돋움"/>
            <family val="3"/>
            <charset val="129"/>
          </rPr>
          <t>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추가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운행분</t>
        </r>
        <r>
          <rPr>
            <sz val="10"/>
            <color indexed="81"/>
            <rFont val="Tahoma"/>
            <family val="2"/>
          </rPr>
          <t xml:space="preserve"> : 12</t>
        </r>
        <r>
          <rPr>
            <sz val="10"/>
            <color indexed="81"/>
            <rFont val="돋움"/>
            <family val="3"/>
            <charset val="129"/>
          </rPr>
          <t>만원</t>
        </r>
      </text>
    </comment>
    <comment ref="P100" authorId="0" shapeId="0" xr:uid="{B71A1B13-BD13-4B32-9B50-6820A39C1704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뉴고려</t>
        </r>
        <r>
          <rPr>
            <sz val="11"/>
            <color indexed="81"/>
            <rFont val="Tahoma"/>
            <family val="2"/>
          </rPr>
          <t>+</t>
        </r>
        <r>
          <rPr>
            <sz val="11"/>
            <color indexed="81"/>
            <rFont val="돋움"/>
            <family val="3"/>
            <charset val="129"/>
          </rPr>
          <t>일산중심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정액</t>
        </r>
        <r>
          <rPr>
            <sz val="11"/>
            <color indexed="81"/>
            <rFont val="Tahoma"/>
            <family val="2"/>
          </rPr>
          <t xml:space="preserve"> : 180</t>
        </r>
        <r>
          <rPr>
            <sz val="11"/>
            <color indexed="81"/>
            <rFont val="돋움"/>
            <family val="3"/>
            <charset val="129"/>
          </rPr>
          <t xml:space="preserve">만원
</t>
        </r>
        <r>
          <rPr>
            <sz val="11"/>
            <color indexed="81"/>
            <rFont val="Tahoma"/>
            <family val="2"/>
          </rPr>
          <t>+</t>
        </r>
        <r>
          <rPr>
            <sz val="11"/>
            <color indexed="81"/>
            <rFont val="돋움"/>
            <family val="3"/>
            <charset val="129"/>
          </rPr>
          <t>파주병원</t>
        </r>
        <r>
          <rPr>
            <sz val="11"/>
            <color indexed="81"/>
            <rFont val="Tahoma"/>
            <family val="2"/>
          </rPr>
          <t xml:space="preserve"> : 250</t>
        </r>
        <r>
          <rPr>
            <sz val="11"/>
            <color indexed="81"/>
            <rFont val="돋움"/>
            <family val="3"/>
            <charset val="129"/>
          </rPr>
          <t>만원
총</t>
        </r>
        <r>
          <rPr>
            <sz val="11"/>
            <color indexed="81"/>
            <rFont val="Tahoma"/>
            <family val="2"/>
          </rPr>
          <t xml:space="preserve"> 430</t>
        </r>
        <r>
          <rPr>
            <sz val="11"/>
            <color indexed="81"/>
            <rFont val="돋움"/>
            <family val="3"/>
            <charset val="129"/>
          </rPr>
          <t xml:space="preserve">만원
</t>
        </r>
        <r>
          <rPr>
            <b/>
            <sz val="11"/>
            <color indexed="81"/>
            <rFont val="Tahoma"/>
            <family val="2"/>
          </rPr>
          <t>50</t>
        </r>
        <r>
          <rPr>
            <b/>
            <sz val="11"/>
            <color indexed="81"/>
            <rFont val="돋움"/>
            <family val="3"/>
            <charset val="129"/>
          </rPr>
          <t>만원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할인</t>
        </r>
        <r>
          <rPr>
            <sz val="11"/>
            <color indexed="81"/>
            <rFont val="돋움"/>
            <family val="3"/>
            <charset val="129"/>
          </rPr>
          <t xml:space="preserve">하여
</t>
        </r>
        <r>
          <rPr>
            <u/>
            <sz val="11"/>
            <color indexed="81"/>
            <rFont val="돋움"/>
            <family val="3"/>
            <charset val="129"/>
          </rPr>
          <t>병원</t>
        </r>
        <r>
          <rPr>
            <u/>
            <sz val="11"/>
            <color indexed="81"/>
            <rFont val="Tahoma"/>
            <family val="2"/>
          </rPr>
          <t xml:space="preserve"> 3</t>
        </r>
        <r>
          <rPr>
            <u/>
            <sz val="11"/>
            <color indexed="81"/>
            <rFont val="돋움"/>
            <family val="3"/>
            <charset val="129"/>
          </rPr>
          <t>곳</t>
        </r>
        <r>
          <rPr>
            <u/>
            <sz val="11"/>
            <color indexed="81"/>
            <rFont val="Tahoma"/>
            <family val="2"/>
          </rPr>
          <t xml:space="preserve"> 380</t>
        </r>
        <r>
          <rPr>
            <u/>
            <sz val="11"/>
            <color indexed="81"/>
            <rFont val="돋움"/>
            <family val="3"/>
            <charset val="129"/>
          </rPr>
          <t>만원으로</t>
        </r>
        <r>
          <rPr>
            <u/>
            <sz val="11"/>
            <color indexed="81"/>
            <rFont val="Tahoma"/>
            <family val="2"/>
          </rPr>
          <t xml:space="preserve"> </t>
        </r>
        <r>
          <rPr>
            <u/>
            <sz val="11"/>
            <color indexed="81"/>
            <rFont val="돋움"/>
            <family val="3"/>
            <charset val="129"/>
          </rPr>
          <t>조정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H101" authorId="0" shapeId="0" xr:uid="{5752EFE6-AF35-4BE4-9753-8399C9210673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월</t>
        </r>
        <r>
          <rPr>
            <sz val="11"/>
            <color indexed="81"/>
            <rFont val="Tahoma"/>
            <family val="2"/>
          </rPr>
          <t xml:space="preserve"> 250</t>
        </r>
        <r>
          <rPr>
            <sz val="11"/>
            <color indexed="81"/>
            <rFont val="돋움"/>
            <family val="3"/>
            <charset val="129"/>
          </rPr>
          <t>만원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정액이나</t>
        </r>
        <r>
          <rPr>
            <sz val="11"/>
            <color indexed="81"/>
            <rFont val="Tahoma"/>
            <family val="2"/>
          </rPr>
          <t>,
12/29~12/31(3</t>
        </r>
        <r>
          <rPr>
            <sz val="11"/>
            <color indexed="81"/>
            <rFont val="돋움"/>
            <family val="3"/>
            <charset val="129"/>
          </rPr>
          <t>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운행분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추가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반영된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금액</t>
        </r>
      </text>
    </comment>
    <comment ref="F104" authorId="2" shapeId="0" xr:uid="{2CA3F263-89F2-4F3F-ABD8-D99ADFFFB29B}">
      <text>
        <r>
          <rPr>
            <b/>
            <sz val="9"/>
            <color indexed="81"/>
            <rFont val="돋움"/>
            <family val="3"/>
            <charset val="129"/>
          </rPr>
          <t>김혜진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★</t>
        </r>
        <r>
          <rPr>
            <sz val="9"/>
            <color indexed="81"/>
            <rFont val="Tahoma"/>
            <family val="2"/>
          </rPr>
          <t xml:space="preserve"> 1/24 </t>
        </r>
        <r>
          <rPr>
            <sz val="9"/>
            <color indexed="81"/>
            <rFont val="돋움"/>
            <family val="3"/>
            <charset val="129"/>
          </rPr>
          <t>메신저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전달사항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임대인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인해
임대료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뒤</t>
        </r>
        <r>
          <rPr>
            <sz val="9"/>
            <color indexed="81"/>
            <rFont val="Tahoma"/>
            <family val="2"/>
          </rPr>
          <t xml:space="preserve">, 
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상속인에게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개월치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예정으로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월분부터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미지급</t>
        </r>
      </text>
    </comment>
    <comment ref="F106" authorId="2" shapeId="0" xr:uid="{E3BE72AE-7933-4922-B289-A744642BFC57}">
      <text>
        <r>
          <rPr>
            <b/>
            <sz val="9"/>
            <color rgb="FF000000"/>
            <rFont val="돋움"/>
            <family val="2"/>
            <charset val="129"/>
          </rPr>
          <t>김혜진</t>
        </r>
        <r>
          <rPr>
            <b/>
            <sz val="9"/>
            <color rgb="FF000000"/>
            <rFont val="Tahoma"/>
            <family val="2"/>
          </rPr>
          <t xml:space="preserve">: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>임대차계약기간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2024.03.23~2025.03.22
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2"/>
            <charset val="129"/>
          </rPr>
          <t>이후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자동연장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됨</t>
        </r>
        <r>
          <rPr>
            <sz val="9"/>
            <color rgb="FF000000"/>
            <rFont val="Tahoma"/>
            <family val="2"/>
          </rPr>
          <t>)</t>
        </r>
      </text>
    </comment>
    <comment ref="P109" authorId="0" shapeId="0" xr:uid="{DBAACE8E-5A55-4C2C-98FF-AAE59305A6C6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1. </t>
        </r>
        <r>
          <rPr>
            <sz val="11"/>
            <color indexed="81"/>
            <rFont val="돋움"/>
            <family val="3"/>
            <charset val="129"/>
          </rPr>
          <t>보일러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세정작업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연소조정</t>
        </r>
        <r>
          <rPr>
            <sz val="11"/>
            <color indexed="81"/>
            <rFont val="Tahoma"/>
            <family val="2"/>
          </rPr>
          <t>(0.5</t>
        </r>
        <r>
          <rPr>
            <sz val="11"/>
            <color indexed="81"/>
            <rFont val="돋움"/>
            <family val="3"/>
            <charset val="129"/>
          </rPr>
          <t>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 xml:space="preserve">
</t>
        </r>
        <r>
          <rPr>
            <sz val="11"/>
            <color indexed="81"/>
            <rFont val="Tahoma"/>
            <family val="2"/>
          </rPr>
          <t>: 880,000</t>
        </r>
        <r>
          <rPr>
            <sz val="11"/>
            <color indexed="81"/>
            <rFont val="돋움"/>
            <family val="3"/>
            <charset val="129"/>
          </rPr>
          <t xml:space="preserve">원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보일러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수리</t>
        </r>
        <r>
          <rPr>
            <sz val="11"/>
            <color indexed="81"/>
            <rFont val="Tahoma"/>
            <family val="2"/>
          </rPr>
          <t>(0.8</t>
        </r>
        <r>
          <rPr>
            <sz val="11"/>
            <color indexed="81"/>
            <rFont val="돋움"/>
            <family val="3"/>
            <charset val="129"/>
          </rPr>
          <t>톤</t>
        </r>
        <r>
          <rPr>
            <sz val="11"/>
            <color indexed="81"/>
            <rFont val="Tahoma"/>
            <family val="2"/>
          </rPr>
          <t>, 0.5</t>
        </r>
        <r>
          <rPr>
            <sz val="11"/>
            <color indexed="81"/>
            <rFont val="돋움"/>
            <family val="3"/>
            <charset val="129"/>
          </rPr>
          <t>톤</t>
        </r>
        <r>
          <rPr>
            <sz val="11"/>
            <color indexed="81"/>
            <rFont val="Tahoma"/>
            <family val="2"/>
          </rPr>
          <t>)
: 400,000</t>
        </r>
        <r>
          <rPr>
            <sz val="11"/>
            <color indexed="81"/>
            <rFont val="돋움"/>
            <family val="3"/>
            <charset val="129"/>
          </rPr>
          <t>원</t>
        </r>
      </text>
    </comment>
    <comment ref="R109" authorId="0" shapeId="0" xr:uid="{23D51476-87D2-4C2A-8620-1197A979DAC4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보일러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수리</t>
        </r>
        <r>
          <rPr>
            <sz val="10"/>
            <color indexed="81"/>
            <rFont val="Tahoma"/>
            <family val="2"/>
          </rPr>
          <t xml:space="preserve">
: 550,000</t>
        </r>
        <r>
          <rPr>
            <sz val="10"/>
            <color indexed="81"/>
            <rFont val="돋움"/>
            <family val="3"/>
            <charset val="129"/>
          </rPr>
          <t>원</t>
        </r>
      </text>
    </comment>
    <comment ref="J110" authorId="0" shapeId="0" xr:uid="{921987E1-745B-4640-A0A6-56934A6AF4A2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멸균기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체크밸브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교체</t>
        </r>
      </text>
    </comment>
    <comment ref="J112" authorId="0" shapeId="0" xr:uid="{EFD36267-ED54-4221-B698-5F3CD89B467B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아이로너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폴딩기계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수리비</t>
        </r>
      </text>
    </comment>
    <comment ref="L114" authorId="0" shapeId="0" xr:uid="{5A41B233-11EC-4A78-86F9-2D37DA1B7042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보일러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화학세관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공사</t>
        </r>
      </text>
    </comment>
    <comment ref="H116" authorId="0" shapeId="0" xr:uid="{5BCA3CB6-857C-48E9-BBF5-CD0B13244D01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탈수기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압력스위치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교체</t>
        </r>
      </text>
    </comment>
    <comment ref="R123" authorId="0" shapeId="0" xr:uid="{C43252D2-3AC6-451C-AD7A-617C72ED7EBC}">
      <text>
        <r>
          <rPr>
            <b/>
            <sz val="9"/>
            <color indexed="81"/>
            <rFont val="Tahoma"/>
            <family val="2"/>
          </rPr>
          <t>BNS</t>
        </r>
        <r>
          <rPr>
            <b/>
            <sz val="9"/>
            <color indexed="81"/>
            <rFont val="돋움"/>
            <family val="3"/>
            <charset val="129"/>
          </rPr>
          <t>박혜영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4/07
</t>
        </r>
        <r>
          <rPr>
            <sz val="9"/>
            <color indexed="81"/>
            <rFont val="돋움"/>
            <family val="3"/>
            <charset val="129"/>
          </rPr>
          <t>정기점검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차량수리
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배터리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필터연료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교환</t>
        </r>
      </text>
    </comment>
    <comment ref="P149" authorId="0" shapeId="0" xr:uid="{10FB69A4-0B83-4484-A961-41F7B33A849F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정기관리비</t>
        </r>
        <r>
          <rPr>
            <sz val="11"/>
            <color indexed="81"/>
            <rFont val="Tahoma"/>
            <family val="2"/>
          </rPr>
          <t xml:space="preserve"> : 1,000,000</t>
        </r>
        <r>
          <rPr>
            <sz val="11"/>
            <color indexed="81"/>
            <rFont val="돋움"/>
            <family val="3"/>
            <charset val="129"/>
          </rPr>
          <t xml:space="preserve">원
</t>
        </r>
      </text>
    </comment>
    <comment ref="L163" authorId="0" shapeId="0" xr:uid="{6BA0AE58-7A44-4B1F-A14F-05F3BAC360F0}">
      <text>
        <r>
          <rPr>
            <b/>
            <sz val="9"/>
            <color indexed="81"/>
            <rFont val="Tahoma"/>
            <family val="2"/>
          </rPr>
          <t>BNS</t>
        </r>
        <r>
          <rPr>
            <b/>
            <sz val="9"/>
            <color indexed="81"/>
            <rFont val="돋움"/>
            <family val="3"/>
            <charset val="129"/>
          </rPr>
          <t>박혜영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9533</t>
        </r>
        <r>
          <rPr>
            <sz val="9"/>
            <color indexed="81"/>
            <rFont val="돋움"/>
            <family val="3"/>
            <charset val="129"/>
          </rPr>
          <t>카드</t>
        </r>
        <r>
          <rPr>
            <sz val="9"/>
            <color indexed="81"/>
            <rFont val="Tahoma"/>
            <family val="2"/>
          </rPr>
          <t xml:space="preserve"> : 128,909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7668</t>
        </r>
        <r>
          <rPr>
            <sz val="9"/>
            <color indexed="81"/>
            <rFont val="돋움"/>
            <family val="3"/>
            <charset val="129"/>
          </rPr>
          <t>카드</t>
        </r>
        <r>
          <rPr>
            <sz val="9"/>
            <color indexed="81"/>
            <rFont val="Tahoma"/>
            <family val="2"/>
          </rPr>
          <t xml:space="preserve"> : 109,000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간이</t>
        </r>
        <r>
          <rPr>
            <sz val="9"/>
            <color indexed="81"/>
            <rFont val="Tahoma"/>
            <family val="2"/>
          </rPr>
          <t>)_</t>
        </r>
        <r>
          <rPr>
            <sz val="9"/>
            <color indexed="81"/>
            <rFont val="돋움"/>
            <family val="3"/>
            <charset val="129"/>
          </rPr>
          <t>회식</t>
        </r>
      </text>
    </comment>
    <comment ref="J176" authorId="0" shapeId="0" xr:uid="{E0423606-25FA-4B2C-8910-6B79EEE3AB22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1</t>
        </r>
        <r>
          <rPr>
            <sz val="12"/>
            <color indexed="81"/>
            <rFont val="돋움"/>
            <family val="3"/>
            <charset val="129"/>
          </rPr>
          <t>월과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동일한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금액</t>
        </r>
        <r>
          <rPr>
            <sz val="12"/>
            <color indexed="81"/>
            <rFont val="Tahoma"/>
            <family val="2"/>
          </rPr>
          <t>O</t>
        </r>
      </text>
    </comment>
    <comment ref="G177" authorId="2" shapeId="0" xr:uid="{DAFE205C-E56C-4279-9452-F81C6356E6B3}">
      <text>
        <r>
          <rPr>
            <b/>
            <sz val="12"/>
            <color rgb="FF000000"/>
            <rFont val="돋움"/>
            <family val="2"/>
            <charset val="129"/>
          </rPr>
          <t>김혜진</t>
        </r>
        <r>
          <rPr>
            <b/>
            <sz val="12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돋움"/>
            <family val="2"/>
            <charset val="129"/>
          </rPr>
          <t>더존</t>
        </r>
        <r>
          <rPr>
            <sz val="12"/>
            <color rgb="FF000000"/>
            <rFont val="Tahoma"/>
            <family val="2"/>
          </rPr>
          <t xml:space="preserve"> ERP </t>
        </r>
        <r>
          <rPr>
            <sz val="12"/>
            <color rgb="FF000000"/>
            <rFont val="돋움"/>
            <family val="2"/>
            <charset val="129"/>
          </rPr>
          <t>기간별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손익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판관비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전체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금액</t>
        </r>
        <r>
          <rPr>
            <sz val="12"/>
            <color rgb="FF000000"/>
            <rFont val="돋움"/>
            <family val="2"/>
            <charset val="129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- </t>
        </r>
        <r>
          <rPr>
            <sz val="12"/>
            <color rgb="FF000000"/>
            <rFont val="돋움"/>
            <family val="2"/>
            <charset val="129"/>
          </rPr>
          <t>스테리케어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관련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비용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제외</t>
        </r>
        <r>
          <rPr>
            <sz val="12"/>
            <color rgb="FF000000"/>
            <rFont val="돋움"/>
            <family val="2"/>
            <charset val="129"/>
          </rPr>
          <t xml:space="preserve">
</t>
        </r>
        <r>
          <rPr>
            <sz val="12"/>
            <color rgb="FF000000"/>
            <rFont val="Tahoma"/>
            <family val="2"/>
          </rPr>
          <t>(</t>
        </r>
        <r>
          <rPr>
            <sz val="12"/>
            <color rgb="FF000000"/>
            <rFont val="돋움"/>
            <family val="2"/>
            <charset val="129"/>
          </rPr>
          <t>감가상각비는</t>
        </r>
        <r>
          <rPr>
            <sz val="12"/>
            <color rgb="FF000000"/>
            <rFont val="Tahoma"/>
            <family val="2"/>
          </rPr>
          <t xml:space="preserve"> ERP </t>
        </r>
        <r>
          <rPr>
            <sz val="12"/>
            <color rgb="FF000000"/>
            <rFont val="돋움"/>
            <family val="2"/>
            <charset val="129"/>
          </rPr>
          <t>손익에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잡혀있지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않음으로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제외</t>
        </r>
        <r>
          <rPr>
            <sz val="12"/>
            <color rgb="FF000000"/>
            <rFont val="Tahoma"/>
            <family val="2"/>
          </rPr>
          <t xml:space="preserve">)
</t>
        </r>
        <r>
          <rPr>
            <sz val="12"/>
            <color rgb="FF000000"/>
            <rFont val="Tahoma"/>
            <family val="2"/>
          </rPr>
          <t>(</t>
        </r>
        <r>
          <rPr>
            <sz val="12"/>
            <color rgb="FF000000"/>
            <rFont val="돋움"/>
            <family val="2"/>
            <charset val="129"/>
          </rPr>
          <t>이자비용은</t>
        </r>
        <r>
          <rPr>
            <sz val="12"/>
            <color rgb="FF000000"/>
            <rFont val="Tahoma"/>
            <family val="2"/>
          </rPr>
          <t xml:space="preserve"> ERP </t>
        </r>
        <r>
          <rPr>
            <sz val="12"/>
            <color rgb="FF000000"/>
            <rFont val="돋움"/>
            <family val="2"/>
            <charset val="129"/>
          </rPr>
          <t>손익에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영업외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비용으로</t>
        </r>
        <r>
          <rPr>
            <sz val="12"/>
            <color rgb="FF000000"/>
            <rFont val="Tahoma"/>
            <family val="2"/>
          </rPr>
          <t xml:space="preserve"> </t>
        </r>
        <r>
          <rPr>
            <sz val="12"/>
            <color rgb="FF000000"/>
            <rFont val="돋움"/>
            <family val="2"/>
            <charset val="129"/>
          </rPr>
          <t>제외</t>
        </r>
        <r>
          <rPr>
            <sz val="12"/>
            <color rgb="FF000000"/>
            <rFont val="Tahoma"/>
            <family val="2"/>
          </rPr>
          <t>)</t>
        </r>
      </text>
    </comment>
    <comment ref="H205" authorId="0" shapeId="0" xr:uid="{12A69B6D-187E-4C9A-9A79-C6F37E899F09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카트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바퀴분</t>
        </r>
      </text>
    </comment>
    <comment ref="J205" authorId="0" shapeId="0" xr:uid="{DFE27796-B0B6-4E19-AAA9-2D653805724D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카트</t>
        </r>
        <r>
          <rPr>
            <sz val="12"/>
            <color indexed="81"/>
            <rFont val="Tahoma"/>
            <family val="2"/>
          </rPr>
          <t xml:space="preserve"> 30</t>
        </r>
        <r>
          <rPr>
            <sz val="12"/>
            <color indexed="81"/>
            <rFont val="돋움"/>
            <family val="3"/>
            <charset val="129"/>
          </rPr>
          <t>개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바퀴교체비용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운송비</t>
        </r>
      </text>
    </comment>
    <comment ref="J217" authorId="0" shapeId="0" xr:uid="{5683AD64-7C6F-423E-8D9E-9BC631C56DBE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Level4 </t>
        </r>
        <r>
          <rPr>
            <sz val="12"/>
            <color indexed="81"/>
            <rFont val="돋움"/>
            <family val="3"/>
            <charset val="129"/>
          </rPr>
          <t>원단</t>
        </r>
      </text>
    </comment>
    <comment ref="J220" authorId="0" shapeId="0" xr:uid="{DA943663-0E01-4CC8-942B-161A9F28157A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25</t>
        </r>
        <r>
          <rPr>
            <sz val="12"/>
            <color indexed="81"/>
            <rFont val="돋움"/>
            <family val="3"/>
            <charset val="129"/>
          </rPr>
          <t>년</t>
        </r>
        <r>
          <rPr>
            <sz val="12"/>
            <color indexed="81"/>
            <rFont val="Tahoma"/>
            <family val="2"/>
          </rPr>
          <t xml:space="preserve"> 11</t>
        </r>
        <r>
          <rPr>
            <sz val="12"/>
            <color indexed="81"/>
            <rFont val="돋움"/>
            <family val="3"/>
            <charset val="129"/>
          </rPr>
          <t>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매입분
업체에서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타사업장으로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오발행하여</t>
        </r>
        <r>
          <rPr>
            <sz val="12"/>
            <color indexed="81"/>
            <rFont val="Tahoma"/>
            <family val="2"/>
          </rPr>
          <t xml:space="preserve"> 26</t>
        </r>
        <r>
          <rPr>
            <sz val="12"/>
            <color indexed="81"/>
            <rFont val="돋움"/>
            <family val="3"/>
            <charset val="129"/>
          </rPr>
          <t>년</t>
        </r>
        <r>
          <rPr>
            <sz val="12"/>
            <color indexed="81"/>
            <rFont val="Tahoma"/>
            <family val="2"/>
          </rPr>
          <t xml:space="preserve"> 2</t>
        </r>
        <r>
          <rPr>
            <sz val="12"/>
            <color indexed="81"/>
            <rFont val="돋움"/>
            <family val="3"/>
            <charset val="129"/>
          </rPr>
          <t>월로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재발행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결제함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BNS박혜영</author>
    <author>김혜진</author>
  </authors>
  <commentList>
    <comment ref="F16" authorId="0" shapeId="0" xr:uid="{416FA01F-F58C-43AA-B74B-51CF003ECB34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허균흉부외과랑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세탁계약은</t>
        </r>
        <r>
          <rPr>
            <sz val="11"/>
            <color indexed="81"/>
            <rFont val="Tahoma"/>
            <family val="2"/>
          </rPr>
          <t xml:space="preserve"> X
</t>
        </r>
        <r>
          <rPr>
            <sz val="11"/>
            <color indexed="81"/>
            <rFont val="돋움"/>
            <family val="3"/>
            <charset val="129"/>
          </rPr>
          <t>기존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메디탁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계약기간이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남아있어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잔여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계약기간동안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메디탁을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중간에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껴서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
세금계산서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발급도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대금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입금도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메디탁에서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예정
허균흉부외과</t>
        </r>
        <r>
          <rPr>
            <sz val="11"/>
            <color indexed="81"/>
            <rFont val="Tahoma"/>
            <family val="2"/>
          </rPr>
          <t xml:space="preserve"> &lt;-&gt; </t>
        </r>
        <r>
          <rPr>
            <sz val="11"/>
            <color indexed="81"/>
            <rFont val="돋움"/>
            <family val="3"/>
            <charset val="129"/>
          </rPr>
          <t>메디탁</t>
        </r>
        <r>
          <rPr>
            <sz val="11"/>
            <color indexed="81"/>
            <rFont val="Tahoma"/>
            <family val="2"/>
          </rPr>
          <t xml:space="preserve"> &lt;-&gt; </t>
        </r>
        <r>
          <rPr>
            <sz val="11"/>
            <color indexed="81"/>
            <rFont val="돋움"/>
            <family val="3"/>
            <charset val="129"/>
          </rPr>
          <t>스테리케어</t>
        </r>
      </text>
    </comment>
    <comment ref="G17" authorId="0" shapeId="0" xr:uid="{72A27626-D093-4CA6-AE54-327DA8D1605E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25.11.17</t>
        </r>
        <r>
          <rPr>
            <sz val="12"/>
            <color indexed="81"/>
            <rFont val="돋움"/>
            <family val="3"/>
            <charset val="129"/>
          </rPr>
          <t>부터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세탁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시작</t>
        </r>
        <r>
          <rPr>
            <sz val="12"/>
            <color indexed="81"/>
            <rFont val="Tahoma"/>
            <family val="2"/>
          </rPr>
          <t xml:space="preserve"> (11</t>
        </r>
        <r>
          <rPr>
            <sz val="12"/>
            <color indexed="81"/>
            <rFont val="돋움"/>
            <family val="3"/>
            <charset val="129"/>
          </rPr>
          <t>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세탁분</t>
        </r>
        <r>
          <rPr>
            <sz val="12"/>
            <color indexed="81"/>
            <rFont val="Tahoma"/>
            <family val="2"/>
          </rPr>
          <t xml:space="preserve"> : 13</t>
        </r>
        <r>
          <rPr>
            <sz val="12"/>
            <color indexed="81"/>
            <rFont val="돋움"/>
            <family val="3"/>
            <charset val="129"/>
          </rPr>
          <t>일</t>
        </r>
        <r>
          <rPr>
            <sz val="12"/>
            <color indexed="81"/>
            <rFont val="Tahoma"/>
            <family val="2"/>
          </rPr>
          <t xml:space="preserve">)
</t>
        </r>
        <r>
          <rPr>
            <sz val="12"/>
            <color indexed="81"/>
            <rFont val="돋움"/>
            <family val="3"/>
            <charset val="129"/>
          </rPr>
          <t>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계약금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Tahoma"/>
            <family val="2"/>
          </rPr>
          <t>110</t>
        </r>
        <r>
          <rPr>
            <b/>
            <sz val="12"/>
            <color indexed="81"/>
            <rFont val="돋움"/>
            <family val="3"/>
            <charset val="129"/>
          </rPr>
          <t>만원</t>
        </r>
        <r>
          <rPr>
            <b/>
            <sz val="12"/>
            <color indexed="81"/>
            <rFont val="Tahoma"/>
            <family val="2"/>
          </rPr>
          <t>(VAT</t>
        </r>
        <r>
          <rPr>
            <b/>
            <sz val="12"/>
            <color indexed="81"/>
            <rFont val="돋움"/>
            <family val="3"/>
            <charset val="129"/>
          </rPr>
          <t>별도</t>
        </r>
        <r>
          <rPr>
            <b/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Tahoma"/>
            <family val="2"/>
          </rPr>
          <t xml:space="preserve">
 *</t>
        </r>
        <r>
          <rPr>
            <sz val="12"/>
            <color indexed="81"/>
            <rFont val="돋움"/>
            <family val="3"/>
            <charset val="129"/>
          </rPr>
          <t>배송기사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수수료</t>
        </r>
        <r>
          <rPr>
            <sz val="12"/>
            <color indexed="81"/>
            <rFont val="Tahoma"/>
            <family val="2"/>
          </rPr>
          <t xml:space="preserve"> 20% </t>
        </r>
        <r>
          <rPr>
            <sz val="12"/>
            <color indexed="81"/>
            <rFont val="돋움"/>
            <family val="3"/>
            <charset val="129"/>
          </rPr>
          <t>공제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입금
</t>
        </r>
        <r>
          <rPr>
            <sz val="12"/>
            <color indexed="81"/>
            <rFont val="Tahoma"/>
            <family val="2"/>
          </rPr>
          <t>12</t>
        </r>
        <r>
          <rPr>
            <sz val="12"/>
            <color indexed="81"/>
            <rFont val="돋움"/>
            <family val="3"/>
            <charset val="129"/>
          </rPr>
          <t xml:space="preserve">월부터
</t>
        </r>
        <r>
          <rPr>
            <sz val="12"/>
            <color indexed="81"/>
            <rFont val="Tahoma"/>
            <family val="2"/>
          </rPr>
          <t>= (1,100,000*20%)*1.1
= 968,000</t>
        </r>
        <r>
          <rPr>
            <sz val="12"/>
            <color indexed="81"/>
            <rFont val="돋움"/>
            <family val="3"/>
            <charset val="129"/>
          </rPr>
          <t>원</t>
        </r>
      </text>
    </comment>
    <comment ref="G18" authorId="0" shapeId="0" xr:uid="{6F73A4ED-060D-483D-B57B-5B107F7C04A9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25.11.17</t>
        </r>
        <r>
          <rPr>
            <sz val="12"/>
            <color indexed="81"/>
            <rFont val="돋움"/>
            <family val="3"/>
            <charset val="129"/>
          </rPr>
          <t>부터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세탁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시작</t>
        </r>
        <r>
          <rPr>
            <sz val="12"/>
            <color indexed="81"/>
            <rFont val="Tahoma"/>
            <family val="2"/>
          </rPr>
          <t xml:space="preserve"> (11</t>
        </r>
        <r>
          <rPr>
            <sz val="12"/>
            <color indexed="81"/>
            <rFont val="돋움"/>
            <family val="3"/>
            <charset val="129"/>
          </rPr>
          <t>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세탁분</t>
        </r>
        <r>
          <rPr>
            <sz val="12"/>
            <color indexed="81"/>
            <rFont val="Tahoma"/>
            <family val="2"/>
          </rPr>
          <t xml:space="preserve"> : 13</t>
        </r>
        <r>
          <rPr>
            <sz val="12"/>
            <color indexed="81"/>
            <rFont val="돋움"/>
            <family val="3"/>
            <charset val="129"/>
          </rPr>
          <t>일</t>
        </r>
        <r>
          <rPr>
            <sz val="12"/>
            <color indexed="81"/>
            <rFont val="Tahoma"/>
            <family val="2"/>
          </rPr>
          <t xml:space="preserve">)
</t>
        </r>
        <r>
          <rPr>
            <sz val="12"/>
            <color indexed="81"/>
            <rFont val="돋움"/>
            <family val="3"/>
            <charset val="129"/>
          </rPr>
          <t>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계약금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Tahoma"/>
            <family val="2"/>
          </rPr>
          <t>2,181,818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>(VAT</t>
        </r>
        <r>
          <rPr>
            <b/>
            <sz val="12"/>
            <color indexed="81"/>
            <rFont val="돋움"/>
            <family val="3"/>
            <charset val="129"/>
          </rPr>
          <t>별도</t>
        </r>
        <r>
          <rPr>
            <b/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Tahoma"/>
            <family val="2"/>
          </rPr>
          <t xml:space="preserve">
 *</t>
        </r>
        <r>
          <rPr>
            <sz val="12"/>
            <color indexed="81"/>
            <rFont val="돋움"/>
            <family val="3"/>
            <charset val="129"/>
          </rPr>
          <t>배송기사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수수료</t>
        </r>
        <r>
          <rPr>
            <sz val="12"/>
            <color indexed="81"/>
            <rFont val="Tahoma"/>
            <family val="2"/>
          </rPr>
          <t xml:space="preserve"> 20% </t>
        </r>
        <r>
          <rPr>
            <sz val="12"/>
            <color indexed="81"/>
            <rFont val="돋움"/>
            <family val="3"/>
            <charset val="129"/>
          </rPr>
          <t>공제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입금
</t>
        </r>
        <r>
          <rPr>
            <sz val="12"/>
            <color indexed="81"/>
            <rFont val="Tahoma"/>
            <family val="2"/>
          </rPr>
          <t>12</t>
        </r>
        <r>
          <rPr>
            <sz val="12"/>
            <color indexed="81"/>
            <rFont val="돋움"/>
            <family val="3"/>
            <charset val="129"/>
          </rPr>
          <t xml:space="preserve">월부터
</t>
        </r>
        <r>
          <rPr>
            <sz val="12"/>
            <color indexed="81"/>
            <rFont val="Tahoma"/>
            <family val="2"/>
          </rPr>
          <t>= (2,181,818*20%)*1.1
= 1,920,000</t>
        </r>
        <r>
          <rPr>
            <sz val="12"/>
            <color indexed="81"/>
            <rFont val="돋움"/>
            <family val="3"/>
            <charset val="129"/>
          </rPr>
          <t xml:space="preserve">원
</t>
        </r>
      </text>
    </comment>
    <comment ref="G21" authorId="1" shapeId="0" xr:uid="{E63B8746-F35F-4E0E-93E0-18D42464159D}">
      <text>
        <r>
          <rPr>
            <b/>
            <sz val="12"/>
            <color indexed="81"/>
            <rFont val="돋움"/>
            <family val="3"/>
            <charset val="129"/>
          </rPr>
          <t>김혜진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실제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상시근로자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인건비</t>
        </r>
        <r>
          <rPr>
            <sz val="12"/>
            <color indexed="81"/>
            <rFont val="Tahoma"/>
            <family val="2"/>
          </rPr>
          <t xml:space="preserve"> + </t>
        </r>
        <r>
          <rPr>
            <sz val="12"/>
            <color indexed="81"/>
            <rFont val="돋움"/>
            <family val="3"/>
            <charset val="129"/>
          </rPr>
          <t>일용직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근로자</t>
        </r>
        <r>
          <rPr>
            <sz val="12"/>
            <color indexed="81"/>
            <rFont val="Tahoma"/>
            <family val="2"/>
          </rPr>
          <t xml:space="preserve"> + 4</t>
        </r>
        <r>
          <rPr>
            <sz val="12"/>
            <color indexed="81"/>
            <rFont val="돋움"/>
            <family val="3"/>
            <charset val="129"/>
          </rPr>
          <t>대보험료</t>
        </r>
        <r>
          <rPr>
            <sz val="12"/>
            <color indexed="81"/>
            <rFont val="Tahoma"/>
            <family val="2"/>
          </rPr>
          <t xml:space="preserve"> + </t>
        </r>
        <r>
          <rPr>
            <sz val="12"/>
            <color indexed="81"/>
            <rFont val="돋움"/>
            <family val="3"/>
            <charset val="129"/>
          </rPr>
          <t>외주용역비</t>
        </r>
      </text>
    </comment>
    <comment ref="G22" authorId="1" shapeId="0" xr:uid="{050D1EE2-5DA5-4702-A76C-31C69E8558D2}">
      <text>
        <r>
          <rPr>
            <b/>
            <sz val="12"/>
            <color indexed="81"/>
            <rFont val="돋움"/>
            <family val="3"/>
            <charset val="129"/>
          </rPr>
          <t>김혜진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퇴직급여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충당금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포함</t>
        </r>
      </text>
    </comment>
    <comment ref="Y23" authorId="0" shapeId="0" xr:uid="{479FB60D-D2E9-4964-AA8C-F7ABA0398EC2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박정란</t>
        </r>
        <r>
          <rPr>
            <sz val="10"/>
            <color indexed="81"/>
            <rFont val="Tahoma"/>
            <family val="2"/>
          </rPr>
          <t xml:space="preserve"> 8</t>
        </r>
        <r>
          <rPr>
            <sz val="10"/>
            <color indexed="81"/>
            <rFont val="돋움"/>
            <family val="3"/>
            <charset val="129"/>
          </rPr>
          <t>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미지급분</t>
        </r>
        <r>
          <rPr>
            <sz val="10"/>
            <color indexed="81"/>
            <rFont val="Tahoma"/>
            <family val="2"/>
          </rPr>
          <t xml:space="preserve"> 1,262,070</t>
        </r>
        <r>
          <rPr>
            <sz val="10"/>
            <color indexed="81"/>
            <rFont val="돋움"/>
            <family val="3"/>
            <charset val="129"/>
          </rPr>
          <t>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제외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금액</t>
        </r>
        <r>
          <rPr>
            <sz val="10"/>
            <color indexed="81"/>
            <rFont val="Tahoma"/>
            <family val="2"/>
          </rPr>
          <t>= 9</t>
        </r>
        <r>
          <rPr>
            <sz val="10"/>
            <color indexed="81"/>
            <rFont val="돋움"/>
            <family val="3"/>
            <charset val="129"/>
          </rPr>
          <t>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연장수당에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포함하여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지급함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BNS박혜영</author>
    <author>박선영</author>
    <author>김혜진</author>
  </authors>
  <commentList>
    <comment ref="E4" authorId="0" shapeId="0" xr:uid="{7759A39E-4BEC-471B-B622-ABFCC2E3DC9B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내부확인용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자료
실제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회계처리</t>
        </r>
        <r>
          <rPr>
            <sz val="11"/>
            <color indexed="81"/>
            <rFont val="Tahoma"/>
            <family val="2"/>
          </rPr>
          <t xml:space="preserve"> : </t>
        </r>
        <r>
          <rPr>
            <sz val="11"/>
            <color indexed="81"/>
            <rFont val="돋움"/>
            <family val="3"/>
            <charset val="129"/>
          </rPr>
          <t>가운원가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섬유자산으로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산입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감가상각
</t>
        </r>
        <r>
          <rPr>
            <sz val="11"/>
            <color indexed="81"/>
            <rFont val="Tahoma"/>
            <family val="2"/>
          </rPr>
          <t>=</t>
        </r>
        <r>
          <rPr>
            <sz val="11"/>
            <color indexed="81"/>
            <rFont val="돋움"/>
            <family val="3"/>
            <charset val="129"/>
          </rPr>
          <t>현재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합계에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반영</t>
        </r>
        <r>
          <rPr>
            <sz val="11"/>
            <color indexed="81"/>
            <rFont val="Tahoma"/>
            <family val="2"/>
          </rPr>
          <t xml:space="preserve">X
</t>
        </r>
      </text>
    </comment>
    <comment ref="H7" authorId="0" shapeId="0" xr:uid="{09C71DE9-9EAB-4F23-96AF-C9072B3A7FA2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스테리케어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마감내역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中
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병원의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대시트부터</t>
        </r>
        <r>
          <rPr>
            <sz val="11"/>
            <color indexed="81"/>
            <rFont val="Tahoma"/>
            <family val="2"/>
          </rPr>
          <t xml:space="preserve"> 24 </t>
        </r>
        <r>
          <rPr>
            <sz val="11"/>
            <color indexed="81"/>
            <rFont val="돋움"/>
            <family val="3"/>
            <charset val="129"/>
          </rPr>
          <t>신생아포까지의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공급가액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합계</t>
        </r>
      </text>
    </comment>
    <comment ref="H8" authorId="0" shapeId="0" xr:uid="{DB90E7E9-A7C5-4E63-BA93-931DADBB4004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스테리케어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마감내역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中
렌탈멸균가운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파랑</t>
        </r>
        <r>
          <rPr>
            <sz val="11"/>
            <color indexed="81"/>
            <rFont val="Tahoma"/>
            <family val="2"/>
          </rPr>
          <t>+</t>
        </r>
        <r>
          <rPr>
            <sz val="11"/>
            <color indexed="81"/>
            <rFont val="돋움"/>
            <family val="3"/>
            <charset val="129"/>
          </rPr>
          <t>보라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공급가액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합계</t>
        </r>
      </text>
    </comment>
    <comment ref="H9" authorId="0" shapeId="0" xr:uid="{DB5857F4-4A66-43E8-BB68-A00013C71EF9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스테리케어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마감내역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中
렌탈비멸균가운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노랑</t>
        </r>
        <r>
          <rPr>
            <sz val="11"/>
            <color indexed="81"/>
            <rFont val="Tahoma"/>
            <family val="2"/>
          </rPr>
          <t>)+</t>
        </r>
        <r>
          <rPr>
            <sz val="11"/>
            <color indexed="81"/>
            <rFont val="돋움"/>
            <family val="3"/>
            <charset val="129"/>
          </rPr>
          <t>경량</t>
        </r>
        <r>
          <rPr>
            <sz val="11"/>
            <color indexed="81"/>
            <rFont val="Tahoma"/>
            <family val="2"/>
          </rPr>
          <t xml:space="preserve"> Isolation Gown </t>
        </r>
        <r>
          <rPr>
            <sz val="11"/>
            <color indexed="81"/>
            <rFont val="돋움"/>
            <family val="3"/>
            <charset val="129"/>
          </rPr>
          <t>공급가액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합계</t>
        </r>
      </text>
    </comment>
    <comment ref="H12" authorId="0" shapeId="0" xr:uid="{F55EF36B-F17D-47A8-883D-AD14186248CD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스테리케어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마감내역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中
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병원의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대시트부터</t>
        </r>
        <r>
          <rPr>
            <sz val="11"/>
            <color indexed="81"/>
            <rFont val="Tahoma"/>
            <family val="2"/>
          </rPr>
          <t xml:space="preserve"> 24 </t>
        </r>
        <r>
          <rPr>
            <sz val="11"/>
            <color indexed="81"/>
            <rFont val="돋움"/>
            <family val="3"/>
            <charset val="129"/>
          </rPr>
          <t>신생아포까지의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공급가액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합계</t>
        </r>
      </text>
    </comment>
    <comment ref="H13" authorId="0" shapeId="0" xr:uid="{C7443293-3FE5-4364-AA3F-CEEF56C5D0E1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스테리케어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마감내역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中
렌탈멸균가운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파랑</t>
        </r>
        <r>
          <rPr>
            <sz val="11"/>
            <color indexed="81"/>
            <rFont val="Tahoma"/>
            <family val="2"/>
          </rPr>
          <t>+</t>
        </r>
        <r>
          <rPr>
            <sz val="11"/>
            <color indexed="81"/>
            <rFont val="돋움"/>
            <family val="3"/>
            <charset val="129"/>
          </rPr>
          <t>보라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공급가액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합계</t>
        </r>
      </text>
    </comment>
    <comment ref="H14" authorId="0" shapeId="0" xr:uid="{4D19E4FE-43E8-4AA8-B441-2DD4803AE234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스테리케어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마감내역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中
렌탈비멸균가운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노랑</t>
        </r>
        <r>
          <rPr>
            <sz val="11"/>
            <color indexed="81"/>
            <rFont val="Tahoma"/>
            <family val="2"/>
          </rPr>
          <t>)+</t>
        </r>
        <r>
          <rPr>
            <sz val="11"/>
            <color indexed="81"/>
            <rFont val="돋움"/>
            <family val="3"/>
            <charset val="129"/>
          </rPr>
          <t>경량</t>
        </r>
        <r>
          <rPr>
            <sz val="11"/>
            <color indexed="81"/>
            <rFont val="Tahoma"/>
            <family val="2"/>
          </rPr>
          <t xml:space="preserve"> Isolation Gown </t>
        </r>
        <r>
          <rPr>
            <sz val="11"/>
            <color indexed="81"/>
            <rFont val="돋움"/>
            <family val="3"/>
            <charset val="129"/>
          </rPr>
          <t>공급가액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합계</t>
        </r>
      </text>
    </comment>
    <comment ref="F17" authorId="0" shapeId="0" xr:uid="{F3E8197E-46EC-4724-9B88-7C4DD67AB45E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병원과의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세탁계약은</t>
        </r>
        <r>
          <rPr>
            <sz val="11"/>
            <color indexed="81"/>
            <rFont val="Tahoma"/>
            <family val="2"/>
          </rPr>
          <t xml:space="preserve"> X
</t>
        </r>
        <r>
          <rPr>
            <sz val="11"/>
            <color indexed="81"/>
            <rFont val="돋움"/>
            <family val="3"/>
            <charset val="129"/>
          </rPr>
          <t>기존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메디탁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계약기간이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남아있어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잔여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계약기간동안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메디탁을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중간에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껴서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
세금계산서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발급도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대금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입금도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메디탁에서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예정
허균흉부외과</t>
        </r>
        <r>
          <rPr>
            <sz val="11"/>
            <color indexed="81"/>
            <rFont val="Tahoma"/>
            <family val="2"/>
          </rPr>
          <t xml:space="preserve"> &lt;-&gt; </t>
        </r>
        <r>
          <rPr>
            <sz val="11"/>
            <color indexed="81"/>
            <rFont val="돋움"/>
            <family val="3"/>
            <charset val="129"/>
          </rPr>
          <t>메디탁</t>
        </r>
        <r>
          <rPr>
            <sz val="11"/>
            <color indexed="81"/>
            <rFont val="Tahoma"/>
            <family val="2"/>
          </rPr>
          <t xml:space="preserve"> &lt;-&gt; </t>
        </r>
        <r>
          <rPr>
            <sz val="11"/>
            <color indexed="81"/>
            <rFont val="돋움"/>
            <family val="3"/>
            <charset val="129"/>
          </rPr>
          <t>스테리케어
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건들도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마찬가지
★</t>
        </r>
        <r>
          <rPr>
            <sz val="11"/>
            <color indexed="81"/>
            <rFont val="Tahoma"/>
            <family val="2"/>
          </rPr>
          <t>26</t>
        </r>
        <r>
          <rPr>
            <sz val="11"/>
            <color indexed="81"/>
            <rFont val="돋움"/>
            <family val="3"/>
            <charset val="129"/>
          </rPr>
          <t>년</t>
        </r>
        <r>
          <rPr>
            <sz val="11"/>
            <color indexed="81"/>
            <rFont val="Tahoma"/>
            <family val="2"/>
          </rPr>
          <t xml:space="preserve"> 2</t>
        </r>
        <r>
          <rPr>
            <sz val="11"/>
            <color indexed="81"/>
            <rFont val="돋움"/>
            <family val="3"/>
            <charset val="129"/>
          </rPr>
          <t>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세탁종료</t>
        </r>
      </text>
    </comment>
    <comment ref="G18" authorId="0" shapeId="0" xr:uid="{C41EF6DC-8E1B-4311-98B7-CF1193EBB0B5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25.11.17</t>
        </r>
        <r>
          <rPr>
            <sz val="12"/>
            <color indexed="81"/>
            <rFont val="돋움"/>
            <family val="3"/>
            <charset val="129"/>
          </rPr>
          <t>부터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세탁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시작</t>
        </r>
        <r>
          <rPr>
            <sz val="12"/>
            <color indexed="81"/>
            <rFont val="Tahoma"/>
            <family val="2"/>
          </rPr>
          <t xml:space="preserve"> (11</t>
        </r>
        <r>
          <rPr>
            <sz val="12"/>
            <color indexed="81"/>
            <rFont val="돋움"/>
            <family val="3"/>
            <charset val="129"/>
          </rPr>
          <t>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세탁분</t>
        </r>
        <r>
          <rPr>
            <sz val="12"/>
            <color indexed="81"/>
            <rFont val="Tahoma"/>
            <family val="2"/>
          </rPr>
          <t xml:space="preserve"> : 13</t>
        </r>
        <r>
          <rPr>
            <sz val="12"/>
            <color indexed="81"/>
            <rFont val="돋움"/>
            <family val="3"/>
            <charset val="129"/>
          </rPr>
          <t>일</t>
        </r>
        <r>
          <rPr>
            <sz val="12"/>
            <color indexed="81"/>
            <rFont val="Tahoma"/>
            <family val="2"/>
          </rPr>
          <t xml:space="preserve">)
</t>
        </r>
        <r>
          <rPr>
            <sz val="12"/>
            <color indexed="81"/>
            <rFont val="돋움"/>
            <family val="3"/>
            <charset val="129"/>
          </rPr>
          <t>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계약금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Tahoma"/>
            <family val="2"/>
          </rPr>
          <t>110</t>
        </r>
        <r>
          <rPr>
            <b/>
            <sz val="12"/>
            <color indexed="81"/>
            <rFont val="돋움"/>
            <family val="3"/>
            <charset val="129"/>
          </rPr>
          <t>만원</t>
        </r>
        <r>
          <rPr>
            <b/>
            <sz val="12"/>
            <color indexed="81"/>
            <rFont val="Tahoma"/>
            <family val="2"/>
          </rPr>
          <t>(VAT</t>
        </r>
        <r>
          <rPr>
            <b/>
            <sz val="12"/>
            <color indexed="81"/>
            <rFont val="돋움"/>
            <family val="3"/>
            <charset val="129"/>
          </rPr>
          <t>별도</t>
        </r>
        <r>
          <rPr>
            <b/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Tahoma"/>
            <family val="2"/>
          </rPr>
          <t xml:space="preserve">
 *</t>
        </r>
        <r>
          <rPr>
            <sz val="12"/>
            <color indexed="81"/>
            <rFont val="돋움"/>
            <family val="3"/>
            <charset val="129"/>
          </rPr>
          <t>배송기사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수수료</t>
        </r>
        <r>
          <rPr>
            <sz val="12"/>
            <color indexed="81"/>
            <rFont val="Tahoma"/>
            <family val="2"/>
          </rPr>
          <t xml:space="preserve"> 20% </t>
        </r>
        <r>
          <rPr>
            <sz val="12"/>
            <color indexed="81"/>
            <rFont val="돋움"/>
            <family val="3"/>
            <charset val="129"/>
          </rPr>
          <t>공제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입금
</t>
        </r>
        <r>
          <rPr>
            <sz val="12"/>
            <color indexed="81"/>
            <rFont val="Tahoma"/>
            <family val="2"/>
          </rPr>
          <t>12</t>
        </r>
        <r>
          <rPr>
            <sz val="12"/>
            <color indexed="81"/>
            <rFont val="돋움"/>
            <family val="3"/>
            <charset val="129"/>
          </rPr>
          <t xml:space="preserve">월부터
</t>
        </r>
        <r>
          <rPr>
            <sz val="12"/>
            <color indexed="81"/>
            <rFont val="Tahoma"/>
            <family val="2"/>
          </rPr>
          <t>= (1,100,000*20%)*1.1
= 968,000</t>
        </r>
        <r>
          <rPr>
            <sz val="12"/>
            <color indexed="81"/>
            <rFont val="돋움"/>
            <family val="3"/>
            <charset val="129"/>
          </rPr>
          <t>원</t>
        </r>
      </text>
    </comment>
    <comment ref="G19" authorId="0" shapeId="0" xr:uid="{CA92BEAD-B3A3-4B60-96E3-0C6250FF6C03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25.11.17</t>
        </r>
        <r>
          <rPr>
            <sz val="12"/>
            <color indexed="81"/>
            <rFont val="돋움"/>
            <family val="3"/>
            <charset val="129"/>
          </rPr>
          <t>부터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세탁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시작</t>
        </r>
        <r>
          <rPr>
            <sz val="12"/>
            <color indexed="81"/>
            <rFont val="Tahoma"/>
            <family val="2"/>
          </rPr>
          <t xml:space="preserve"> (11</t>
        </r>
        <r>
          <rPr>
            <sz val="12"/>
            <color indexed="81"/>
            <rFont val="돋움"/>
            <family val="3"/>
            <charset val="129"/>
          </rPr>
          <t>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세탁분</t>
        </r>
        <r>
          <rPr>
            <sz val="12"/>
            <color indexed="81"/>
            <rFont val="Tahoma"/>
            <family val="2"/>
          </rPr>
          <t xml:space="preserve"> : 13</t>
        </r>
        <r>
          <rPr>
            <sz val="12"/>
            <color indexed="81"/>
            <rFont val="돋움"/>
            <family val="3"/>
            <charset val="129"/>
          </rPr>
          <t>일</t>
        </r>
        <r>
          <rPr>
            <sz val="12"/>
            <color indexed="81"/>
            <rFont val="Tahoma"/>
            <family val="2"/>
          </rPr>
          <t xml:space="preserve">)
</t>
        </r>
        <r>
          <rPr>
            <sz val="12"/>
            <color indexed="81"/>
            <rFont val="돋움"/>
            <family val="3"/>
            <charset val="129"/>
          </rPr>
          <t>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계약금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Tahoma"/>
            <family val="2"/>
          </rPr>
          <t>2,181,818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>(VAT</t>
        </r>
        <r>
          <rPr>
            <b/>
            <sz val="12"/>
            <color indexed="81"/>
            <rFont val="돋움"/>
            <family val="3"/>
            <charset val="129"/>
          </rPr>
          <t>별도</t>
        </r>
        <r>
          <rPr>
            <b/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Tahoma"/>
            <family val="2"/>
          </rPr>
          <t xml:space="preserve">
 *</t>
        </r>
        <r>
          <rPr>
            <sz val="12"/>
            <color indexed="81"/>
            <rFont val="돋움"/>
            <family val="3"/>
            <charset val="129"/>
          </rPr>
          <t>배송기사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수수료</t>
        </r>
        <r>
          <rPr>
            <sz val="12"/>
            <color indexed="81"/>
            <rFont val="Tahoma"/>
            <family val="2"/>
          </rPr>
          <t xml:space="preserve"> 20% </t>
        </r>
        <r>
          <rPr>
            <sz val="12"/>
            <color indexed="81"/>
            <rFont val="돋움"/>
            <family val="3"/>
            <charset val="129"/>
          </rPr>
          <t>공제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입금
</t>
        </r>
        <r>
          <rPr>
            <sz val="12"/>
            <color indexed="81"/>
            <rFont val="Tahoma"/>
            <family val="2"/>
          </rPr>
          <t>12</t>
        </r>
        <r>
          <rPr>
            <sz val="12"/>
            <color indexed="81"/>
            <rFont val="돋움"/>
            <family val="3"/>
            <charset val="129"/>
          </rPr>
          <t xml:space="preserve">월부터
</t>
        </r>
        <r>
          <rPr>
            <sz val="12"/>
            <color indexed="81"/>
            <rFont val="Tahoma"/>
            <family val="2"/>
          </rPr>
          <t>= (2,181,818*20%)*1.1
= 1,920,000</t>
        </r>
        <r>
          <rPr>
            <sz val="12"/>
            <color indexed="81"/>
            <rFont val="돋움"/>
            <family val="3"/>
            <charset val="129"/>
          </rPr>
          <t xml:space="preserve">원
</t>
        </r>
      </text>
    </comment>
    <comment ref="F21" authorId="0" shapeId="0" xr:uid="{2A41A830-7E39-4B41-A508-1FFB0F6DCC94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26</t>
        </r>
        <r>
          <rPr>
            <sz val="10"/>
            <color indexed="81"/>
            <rFont val="돋움"/>
            <family val="3"/>
            <charset val="129"/>
          </rPr>
          <t>년</t>
        </r>
        <r>
          <rPr>
            <sz val="10"/>
            <color indexed="81"/>
            <rFont val="Tahoma"/>
            <family val="2"/>
          </rPr>
          <t xml:space="preserve"> 1</t>
        </r>
        <r>
          <rPr>
            <sz val="10"/>
            <color indexed="81"/>
            <rFont val="돋움"/>
            <family val="3"/>
            <charset val="129"/>
          </rPr>
          <t>월부터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시작</t>
        </r>
      </text>
    </comment>
    <comment ref="F23" authorId="0" shapeId="0" xr:uid="{C79FCD1A-BCE7-4046-9657-4910A3A9B24F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26</t>
        </r>
        <r>
          <rPr>
            <sz val="10"/>
            <color indexed="81"/>
            <rFont val="돋움"/>
            <family val="3"/>
            <charset val="129"/>
          </rPr>
          <t>년</t>
        </r>
        <r>
          <rPr>
            <sz val="10"/>
            <color indexed="81"/>
            <rFont val="Tahoma"/>
            <family val="2"/>
          </rPr>
          <t xml:space="preserve"> 3</t>
        </r>
        <r>
          <rPr>
            <sz val="10"/>
            <color indexed="81"/>
            <rFont val="돋움"/>
            <family val="3"/>
            <charset val="129"/>
          </rPr>
          <t>월부터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시작</t>
        </r>
      </text>
    </comment>
    <comment ref="J23" authorId="0" shapeId="0" xr:uid="{4B3872E2-5B67-442C-869B-9064CAAE0B92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단발성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세탁건
</t>
        </r>
      </text>
    </comment>
    <comment ref="L23" authorId="0" shapeId="0" xr:uid="{02697B95-A86A-45E0-8C24-4EB7FA48BAEC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정기계약건</t>
        </r>
        <r>
          <rPr>
            <sz val="10"/>
            <color indexed="81"/>
            <rFont val="Tahoma"/>
            <family val="2"/>
          </rPr>
          <t xml:space="preserve"> : 4,818,182</t>
        </r>
        <r>
          <rPr>
            <sz val="10"/>
            <color indexed="81"/>
            <rFont val="돋움"/>
            <family val="3"/>
            <charset val="129"/>
          </rPr>
          <t>원
단발성</t>
        </r>
        <r>
          <rPr>
            <sz val="10"/>
            <color indexed="81"/>
            <rFont val="Tahoma"/>
            <family val="2"/>
          </rPr>
          <t xml:space="preserve"> : 490,909</t>
        </r>
        <r>
          <rPr>
            <sz val="10"/>
            <color indexed="81"/>
            <rFont val="돋움"/>
            <family val="3"/>
            <charset val="129"/>
          </rPr>
          <t>원</t>
        </r>
      </text>
    </comment>
    <comment ref="F25" authorId="0" shapeId="0" xr:uid="{6A407BB1-12DA-451B-AFA8-6A13C3338AC6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26</t>
        </r>
        <r>
          <rPr>
            <sz val="10"/>
            <color indexed="81"/>
            <rFont val="돋움"/>
            <family val="3"/>
            <charset val="129"/>
          </rPr>
          <t>년</t>
        </r>
        <r>
          <rPr>
            <sz val="10"/>
            <color indexed="81"/>
            <rFont val="Tahoma"/>
            <family val="2"/>
          </rPr>
          <t xml:space="preserve"> 3</t>
        </r>
        <r>
          <rPr>
            <sz val="10"/>
            <color indexed="81"/>
            <rFont val="돋움"/>
            <family val="3"/>
            <charset val="129"/>
          </rPr>
          <t>월부터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시작</t>
        </r>
      </text>
    </comment>
    <comment ref="F29" authorId="1" shapeId="0" xr:uid="{E05D82C9-459E-488F-A33E-8AC7C9F43E8E}">
      <text>
        <r>
          <rPr>
            <sz val="9"/>
            <color indexed="81"/>
            <rFont val="Tahoma"/>
            <family val="2"/>
          </rPr>
          <t xml:space="preserve">2024.02~04
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부천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월수금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배송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세탁</t>
        </r>
        <r>
          <rPr>
            <sz val="9"/>
            <color indexed="81"/>
            <rFont val="Tahoma"/>
            <family val="2"/>
          </rPr>
          <t xml:space="preserve"> 
2024.05~
</t>
        </r>
        <r>
          <rPr>
            <sz val="9"/>
            <color indexed="81"/>
            <rFont val="돋움"/>
            <family val="3"/>
            <charset val="129"/>
          </rPr>
          <t>부천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월수금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배송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부천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세탁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F32" authorId="1" shapeId="0" xr:uid="{C4F98506-0F24-4266-86E2-FE05681EE7B4}">
      <text>
        <r>
          <rPr>
            <sz val="9"/>
            <color indexed="81"/>
            <rFont val="Tahoma"/>
            <family val="2"/>
          </rPr>
          <t xml:space="preserve">2023.06.15 </t>
        </r>
        <r>
          <rPr>
            <sz val="9"/>
            <color indexed="81"/>
            <rFont val="돋움"/>
            <family val="3"/>
            <charset val="129"/>
          </rPr>
          <t>입사</t>
        </r>
      </text>
    </comment>
    <comment ref="F33" authorId="2" shapeId="0" xr:uid="{D5A9A64A-3203-4A4B-985D-8A9BA3FE116E}">
      <text>
        <r>
          <rPr>
            <b/>
            <sz val="9"/>
            <color indexed="81"/>
            <rFont val="돋움"/>
            <family val="3"/>
            <charset val="129"/>
          </rPr>
          <t>김혜진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24.04.29 </t>
        </r>
        <r>
          <rPr>
            <sz val="9"/>
            <color indexed="81"/>
            <rFont val="돋움"/>
            <family val="3"/>
            <charset val="129"/>
          </rPr>
          <t>입사</t>
        </r>
      </text>
    </comment>
    <comment ref="J39" authorId="0" shapeId="0" xr:uid="{45C7487B-DB76-4CD4-A6D9-6C589B6F460E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2/07~3/08</t>
        </r>
        <r>
          <rPr>
            <sz val="11"/>
            <color indexed="81"/>
            <rFont val="돋움"/>
            <family val="3"/>
            <charset val="129"/>
          </rPr>
          <t>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휴직</t>
        </r>
      </text>
    </comment>
    <comment ref="J42" authorId="0" shapeId="0" xr:uid="{B1673645-5A0A-44C9-83ED-EB6CED9DEDF0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2/20 </t>
        </r>
        <r>
          <rPr>
            <sz val="11"/>
            <color indexed="81"/>
            <rFont val="돋움"/>
            <family val="3"/>
            <charset val="129"/>
          </rPr>
          <t>퇴사</t>
        </r>
      </text>
    </comment>
    <comment ref="L43" authorId="0" shapeId="0" xr:uid="{65A1DEDF-9612-4B62-8A6C-A14273AF10E5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3/09 </t>
        </r>
        <r>
          <rPr>
            <sz val="10"/>
            <color indexed="81"/>
            <rFont val="돋움"/>
            <family val="3"/>
            <charset val="129"/>
          </rPr>
          <t>퇴사</t>
        </r>
      </text>
    </comment>
    <comment ref="H45" authorId="0" shapeId="0" xr:uid="{34DE541E-FC26-4423-AF73-F016D14465B0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2025</t>
        </r>
        <r>
          <rPr>
            <sz val="12"/>
            <color indexed="81"/>
            <rFont val="돋움"/>
            <family val="3"/>
            <charset val="129"/>
          </rPr>
          <t>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귀속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잔여연차수당</t>
        </r>
      </text>
    </comment>
    <comment ref="L47" authorId="0" shapeId="0" xr:uid="{6D105F0C-B7DE-4943-8F85-D79781DC5BF9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불법고용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부담분</t>
        </r>
        <r>
          <rPr>
            <sz val="10"/>
            <color indexed="81"/>
            <rFont val="Tahoma"/>
            <family val="2"/>
          </rPr>
          <t>(400,164</t>
        </r>
        <r>
          <rPr>
            <sz val="10"/>
            <color indexed="81"/>
            <rFont val="돋움"/>
            <family val="3"/>
            <charset val="129"/>
          </rPr>
          <t>원</t>
        </r>
        <r>
          <rPr>
            <sz val="10"/>
            <color indexed="81"/>
            <rFont val="Tahoma"/>
            <family val="2"/>
          </rPr>
          <t xml:space="preserve">) </t>
        </r>
        <r>
          <rPr>
            <sz val="10"/>
            <color indexed="81"/>
            <rFont val="돋움"/>
            <family val="3"/>
            <charset val="129"/>
          </rPr>
          <t>공제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금액</t>
        </r>
      </text>
    </comment>
    <comment ref="J48" authorId="0" shapeId="0" xr:uid="{2BDD1082-6A09-4822-AB52-6E2CC2E445E5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H-2</t>
        </r>
        <r>
          <rPr>
            <sz val="12"/>
            <color indexed="81"/>
            <rFont val="돋움"/>
            <family val="3"/>
            <charset val="129"/>
          </rPr>
          <t>비자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근로개시신고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및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보험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가입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비자</t>
        </r>
        <r>
          <rPr>
            <sz val="12"/>
            <color indexed="81"/>
            <rFont val="Tahoma"/>
            <family val="2"/>
          </rPr>
          <t xml:space="preserve">)
</t>
        </r>
      </text>
    </comment>
    <comment ref="D55" authorId="0" shapeId="0" xr:uid="{9EDDE403-44E0-459B-A71E-5FBA4EA53D60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해당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외주용역비는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노무비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합계액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직원급여</t>
        </r>
        <r>
          <rPr>
            <sz val="12"/>
            <color indexed="81"/>
            <rFont val="Tahoma"/>
            <family val="2"/>
          </rPr>
          <t>+</t>
        </r>
        <r>
          <rPr>
            <sz val="12"/>
            <color indexed="81"/>
            <rFont val="돋움"/>
            <family val="3"/>
            <charset val="129"/>
          </rPr>
          <t>그외</t>
        </r>
        <r>
          <rPr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돋움"/>
            <family val="3"/>
            <charset val="129"/>
          </rPr>
          <t>에는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포함되나</t>
        </r>
        <r>
          <rPr>
            <sz val="12"/>
            <color indexed="81"/>
            <rFont val="Tahoma"/>
            <family val="2"/>
          </rPr>
          <t>, '</t>
        </r>
        <r>
          <rPr>
            <sz val="12"/>
            <color indexed="81"/>
            <rFont val="돋움"/>
            <family val="3"/>
            <charset val="129"/>
          </rPr>
          <t>노무비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총합계액</t>
        </r>
        <r>
          <rPr>
            <sz val="12"/>
            <color indexed="81"/>
            <rFont val="Tahoma"/>
            <family val="2"/>
          </rPr>
          <t>'</t>
        </r>
        <r>
          <rPr>
            <sz val="12"/>
            <color indexed="81"/>
            <rFont val="돋움"/>
            <family val="3"/>
            <charset val="129"/>
          </rPr>
          <t>에선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제외함</t>
        </r>
        <r>
          <rPr>
            <sz val="12"/>
            <color indexed="81"/>
            <rFont val="Tahoma"/>
            <family val="2"/>
          </rPr>
          <t xml:space="preserve">.
</t>
        </r>
        <r>
          <rPr>
            <sz val="12"/>
            <color indexed="81"/>
            <rFont val="돋움"/>
            <family val="3"/>
            <charset val="129"/>
          </rPr>
          <t>판관비에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해당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금액</t>
        </r>
        <r>
          <rPr>
            <sz val="12"/>
            <color indexed="81"/>
            <rFont val="Tahoma"/>
            <family val="2"/>
          </rPr>
          <t xml:space="preserve"> 1</t>
        </r>
        <r>
          <rPr>
            <sz val="12"/>
            <color indexed="81"/>
            <rFont val="돋움"/>
            <family val="3"/>
            <charset val="129"/>
          </rPr>
          <t>번더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반영할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예정이라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합계에서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제외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실제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계산되는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합계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비용인</t>
        </r>
        <r>
          <rPr>
            <sz val="12"/>
            <color indexed="81"/>
            <rFont val="Tahoma"/>
            <family val="2"/>
          </rPr>
          <t xml:space="preserve"> '</t>
        </r>
        <r>
          <rPr>
            <sz val="12"/>
            <color indexed="81"/>
            <rFont val="돋움"/>
            <family val="3"/>
            <charset val="129"/>
          </rPr>
          <t>노무비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총합계액</t>
        </r>
        <r>
          <rPr>
            <sz val="12"/>
            <color indexed="81"/>
            <rFont val="Tahoma"/>
            <family val="2"/>
          </rPr>
          <t>'</t>
        </r>
        <r>
          <rPr>
            <sz val="12"/>
            <color indexed="81"/>
            <rFont val="돋움"/>
            <family val="3"/>
            <charset val="129"/>
          </rPr>
          <t>에서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제외함</t>
        </r>
        <r>
          <rPr>
            <sz val="12"/>
            <color indexed="81"/>
            <rFont val="Tahoma"/>
            <family val="2"/>
          </rPr>
          <t>)</t>
        </r>
      </text>
    </comment>
    <comment ref="F62" authorId="2" shapeId="0" xr:uid="{7DEE897C-B724-488F-9367-BAE1FAD64F8A}">
      <text>
        <r>
          <rPr>
            <b/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맑은 고딕"/>
            <family val="3"/>
            <charset val="129"/>
          </rPr>
          <t>1. 김계순 (23/06/15~25/03/31) 퇴직금 추계액 : 4,505,587원
   1년9개월17일 (656일)
   퇴사직전 3개월 기준 급여로 퇴직금 산정되므로,
   (25년 1월 지급된 잔여연차수당과 25년 2월 급여차감분
   (여사님들 1시간 조기 퇴근 건) 제외)후 평월 급여로 산정함
2. 박우생 (24/02/01~25/03/31) 퇴직금 추계액 : 5,821,894원
   1년 2개월 (425일)
   위와 같은 사유로 잔여연차수당 제외한 평월 급여로 산정</t>
        </r>
      </text>
    </comment>
    <comment ref="F63" authorId="2" shapeId="0" xr:uid="{AD9F9988-78B0-476E-AD49-45D594980258}">
      <text>
        <r>
          <rPr>
            <b/>
            <sz val="12"/>
            <color indexed="81"/>
            <rFont val="맑은 고딕"/>
            <family val="3"/>
            <charset val="129"/>
          </rPr>
          <t xml:space="preserve">김혜진:
</t>
        </r>
        <r>
          <rPr>
            <sz val="12"/>
            <color indexed="81"/>
            <rFont val="맑은 고딕"/>
            <family val="3"/>
            <charset val="129"/>
          </rPr>
          <t xml:space="preserve">
1. 김계순 (23/06/15~25/03/31) 퇴직금 추계액 : 4,505,587원
   1년9개월17일 (656일)
   퇴사직전 3개월 기준 급여로 퇴직금 산정되므로,
   (25년 1월 지급된 잔여연차수당과 25년 2월 급여차감분
   (여사님들 1시간 조기 퇴근 건) 제외)후 평월 급여로 산정함
2. 박우생 (24/02/01~25/03/31) 퇴직금 추계액 : 5,821,894원
   1년 2개월 (425일)
   위와 같은 사유로 잔여연차수당 제외한 평월 급여로 산정</t>
        </r>
      </text>
    </comment>
    <comment ref="F73" authorId="1" shapeId="0" xr:uid="{B2590EC9-BD72-4935-9A8C-969F62D2845C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함초롬돋움"/>
            <family val="3"/>
            <charset val="129"/>
          </rPr>
          <t>DB손해보험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3" authorId="2" shapeId="0" xr:uid="{D9CD5394-E824-4485-ADD8-ECF45C838966}">
      <text>
        <r>
          <rPr>
            <b/>
            <sz val="12"/>
            <color indexed="81"/>
            <rFont val="돋움"/>
            <family val="3"/>
            <charset val="129"/>
          </rPr>
          <t>김혜진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1.</t>
        </r>
        <r>
          <rPr>
            <sz val="12"/>
            <color indexed="81"/>
            <rFont val="돋움"/>
            <family val="3"/>
            <charset val="129"/>
          </rPr>
          <t>보험가입기간</t>
        </r>
        <r>
          <rPr>
            <sz val="12"/>
            <color indexed="81"/>
            <rFont val="Tahoma"/>
            <family val="2"/>
          </rPr>
          <t xml:space="preserve"> : 2024.04.23~2025.04.23
2.</t>
        </r>
        <r>
          <rPr>
            <sz val="12"/>
            <color indexed="81"/>
            <rFont val="돋움"/>
            <family val="3"/>
            <charset val="129"/>
          </rPr>
          <t>지급일</t>
        </r>
        <r>
          <rPr>
            <sz val="12"/>
            <color indexed="81"/>
            <rFont val="Tahoma"/>
            <family val="2"/>
          </rPr>
          <t xml:space="preserve"> : 2024.06.04 (</t>
        </r>
        <r>
          <rPr>
            <sz val="12"/>
            <color indexed="81"/>
            <rFont val="돋움"/>
            <family val="3"/>
            <charset val="129"/>
          </rPr>
          <t>일괄지급</t>
        </r>
        <r>
          <rPr>
            <sz val="12"/>
            <color indexed="81"/>
            <rFont val="Tahoma"/>
            <family val="2"/>
          </rPr>
          <t>)
3.</t>
        </r>
        <r>
          <rPr>
            <sz val="12"/>
            <color indexed="81"/>
            <rFont val="돋움"/>
            <family val="3"/>
            <charset val="129"/>
          </rPr>
          <t>특이사항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박우생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팀장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중도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퇴사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시</t>
        </r>
        <r>
          <rPr>
            <sz val="12"/>
            <color indexed="81"/>
            <rFont val="Tahoma"/>
            <family val="2"/>
          </rPr>
          <t xml:space="preserve">, 
</t>
        </r>
        <r>
          <rPr>
            <sz val="12"/>
            <color indexed="81"/>
            <rFont val="돋움"/>
            <family val="3"/>
            <charset val="129"/>
          </rPr>
          <t>보험료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지원금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잔여일수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계산해서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급여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차감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것</t>
        </r>
        <r>
          <rPr>
            <sz val="12"/>
            <color indexed="81"/>
            <rFont val="Tahoma"/>
            <family val="2"/>
          </rPr>
          <t xml:space="preserve">!!
4. </t>
        </r>
        <r>
          <rPr>
            <sz val="12"/>
            <color indexed="81"/>
            <rFont val="돋움"/>
            <family val="3"/>
            <charset val="129"/>
          </rPr>
          <t>보장내역</t>
        </r>
        <r>
          <rPr>
            <sz val="12"/>
            <color indexed="81"/>
            <rFont val="Tahoma"/>
            <family val="2"/>
          </rPr>
          <t xml:space="preserve"> (DB</t>
        </r>
        <r>
          <rPr>
            <sz val="12"/>
            <color indexed="81"/>
            <rFont val="돋움"/>
            <family val="3"/>
            <charset val="129"/>
          </rPr>
          <t>손해보험</t>
        </r>
        <r>
          <rPr>
            <sz val="12"/>
            <color indexed="81"/>
            <rFont val="Tahoma"/>
            <family val="2"/>
          </rPr>
          <t xml:space="preserve">)
</t>
        </r>
        <r>
          <rPr>
            <sz val="12"/>
            <color indexed="81"/>
            <rFont val="돋움"/>
            <family val="3"/>
            <charset val="129"/>
          </rPr>
          <t>대인배상</t>
        </r>
        <r>
          <rPr>
            <sz val="12"/>
            <color indexed="81"/>
            <rFont val="Tahoma"/>
            <family val="2"/>
          </rPr>
          <t xml:space="preserve"> 1</t>
        </r>
        <r>
          <rPr>
            <sz val="12"/>
            <color indexed="81"/>
            <rFont val="돋움"/>
            <family val="3"/>
            <charset val="129"/>
          </rPr>
          <t>인당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무한
대물배상</t>
        </r>
        <r>
          <rPr>
            <sz val="12"/>
            <color indexed="81"/>
            <rFont val="Tahoma"/>
            <family val="2"/>
          </rPr>
          <t xml:space="preserve"> 1</t>
        </r>
        <r>
          <rPr>
            <sz val="12"/>
            <color indexed="81"/>
            <rFont val="돋움"/>
            <family val="3"/>
            <charset val="129"/>
          </rPr>
          <t>사고당</t>
        </r>
        <r>
          <rPr>
            <sz val="12"/>
            <color indexed="81"/>
            <rFont val="Tahoma"/>
            <family val="2"/>
          </rPr>
          <t xml:space="preserve"> 5</t>
        </r>
        <r>
          <rPr>
            <sz val="12"/>
            <color indexed="81"/>
            <rFont val="돋움"/>
            <family val="3"/>
            <charset val="129"/>
          </rPr>
          <t>억원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한도
긴급출동서비스</t>
        </r>
        <r>
          <rPr>
            <sz val="12"/>
            <color indexed="81"/>
            <rFont val="Tahoma"/>
            <family val="2"/>
          </rPr>
          <t xml:space="preserve"> 6</t>
        </r>
        <r>
          <rPr>
            <sz val="12"/>
            <color indexed="81"/>
            <rFont val="돋움"/>
            <family val="3"/>
            <charset val="129"/>
          </rPr>
          <t>회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차량점검</t>
        </r>
        <r>
          <rPr>
            <sz val="12"/>
            <color indexed="81"/>
            <rFont val="Tahoma"/>
            <family val="2"/>
          </rPr>
          <t xml:space="preserve"> 1</t>
        </r>
        <r>
          <rPr>
            <sz val="12"/>
            <color indexed="81"/>
            <rFont val="돋움"/>
            <family val="3"/>
            <charset val="129"/>
          </rPr>
          <t>회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긴급견인</t>
        </r>
        <r>
          <rPr>
            <sz val="12"/>
            <color indexed="81"/>
            <rFont val="Tahoma"/>
            <family val="2"/>
          </rPr>
          <t xml:space="preserve"> 60km</t>
        </r>
      </text>
    </comment>
    <comment ref="F92" authorId="2" shapeId="0" xr:uid="{0B36F3E8-9A32-44FD-B44B-D5EA0D0CCC03}">
      <text>
        <r>
          <rPr>
            <b/>
            <sz val="9"/>
            <color indexed="81"/>
            <rFont val="돋움"/>
            <family val="3"/>
            <charset val="129"/>
          </rPr>
          <t>김혜진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★</t>
        </r>
        <r>
          <rPr>
            <sz val="9"/>
            <color indexed="81"/>
            <rFont val="Tahoma"/>
            <family val="2"/>
          </rPr>
          <t xml:space="preserve"> 1/24 </t>
        </r>
        <r>
          <rPr>
            <sz val="9"/>
            <color indexed="81"/>
            <rFont val="돋움"/>
            <family val="3"/>
            <charset val="129"/>
          </rPr>
          <t>메신저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전달사항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임대인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인해
임대료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뒤</t>
        </r>
        <r>
          <rPr>
            <sz val="9"/>
            <color indexed="81"/>
            <rFont val="Tahoma"/>
            <family val="2"/>
          </rPr>
          <t xml:space="preserve">, 
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상속인에게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개월치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예정으로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월분부터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미지급</t>
        </r>
      </text>
    </comment>
    <comment ref="J94" authorId="0" shapeId="0" xr:uid="{8FE7CD23-0DC8-47F6-882B-160CA12139F3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허균은</t>
        </r>
        <r>
          <rPr>
            <sz val="10"/>
            <color indexed="81"/>
            <rFont val="Tahoma"/>
            <family val="2"/>
          </rPr>
          <t xml:space="preserve"> 2</t>
        </r>
        <r>
          <rPr>
            <sz val="10"/>
            <color indexed="81"/>
            <rFont val="돋움"/>
            <family val="3"/>
            <charset val="129"/>
          </rPr>
          <t>월로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종료
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월부터는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뉴고려</t>
        </r>
        <r>
          <rPr>
            <sz val="10"/>
            <color indexed="81"/>
            <rFont val="Tahoma"/>
            <family val="2"/>
          </rPr>
          <t xml:space="preserve"> 120</t>
        </r>
        <r>
          <rPr>
            <sz val="10"/>
            <color indexed="81"/>
            <rFont val="돋움"/>
            <family val="3"/>
            <charset val="129"/>
          </rPr>
          <t>만원</t>
        </r>
        <r>
          <rPr>
            <sz val="10"/>
            <color indexed="81"/>
            <rFont val="Tahoma"/>
            <family val="2"/>
          </rPr>
          <t xml:space="preserve"> + </t>
        </r>
        <r>
          <rPr>
            <sz val="10"/>
            <color indexed="81"/>
            <rFont val="돋움"/>
            <family val="3"/>
            <charset val="129"/>
          </rPr>
          <t>일산중심</t>
        </r>
        <r>
          <rPr>
            <sz val="10"/>
            <color indexed="81"/>
            <rFont val="Tahoma"/>
            <family val="2"/>
          </rPr>
          <t xml:space="preserve"> 60</t>
        </r>
        <r>
          <rPr>
            <sz val="10"/>
            <color indexed="81"/>
            <rFont val="돋움"/>
            <family val="3"/>
            <charset val="129"/>
          </rPr>
          <t xml:space="preserve">만원
</t>
        </r>
        <r>
          <rPr>
            <sz val="10"/>
            <color indexed="81"/>
            <rFont val="Tahoma"/>
            <family val="2"/>
          </rPr>
          <t>=</t>
        </r>
        <r>
          <rPr>
            <sz val="10"/>
            <color indexed="81"/>
            <rFont val="돋움"/>
            <family val="3"/>
            <charset val="129"/>
          </rPr>
          <t>총</t>
        </r>
        <r>
          <rPr>
            <sz val="10"/>
            <color indexed="81"/>
            <rFont val="Tahoma"/>
            <family val="2"/>
          </rPr>
          <t xml:space="preserve"> 180</t>
        </r>
        <r>
          <rPr>
            <sz val="10"/>
            <color indexed="81"/>
            <rFont val="돋움"/>
            <family val="3"/>
            <charset val="129"/>
          </rPr>
          <t>만</t>
        </r>
        <r>
          <rPr>
            <sz val="10"/>
            <color indexed="81"/>
            <rFont val="Tahoma"/>
            <family val="2"/>
          </rPr>
          <t>(VAT</t>
        </r>
        <r>
          <rPr>
            <sz val="10"/>
            <color indexed="81"/>
            <rFont val="돋움"/>
            <family val="3"/>
            <charset val="129"/>
          </rPr>
          <t>미포함</t>
        </r>
        <r>
          <rPr>
            <sz val="10"/>
            <color indexed="81"/>
            <rFont val="Tahoma"/>
            <family val="2"/>
          </rPr>
          <t>)</t>
        </r>
      </text>
    </comment>
    <comment ref="L94" authorId="0" shapeId="0" xr:uid="{E14CF919-106F-4C3B-951C-0AF54180EA0F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뉴고려</t>
        </r>
        <r>
          <rPr>
            <sz val="10"/>
            <color indexed="81"/>
            <rFont val="Tahoma"/>
            <family val="2"/>
          </rPr>
          <t>+</t>
        </r>
        <r>
          <rPr>
            <sz val="10"/>
            <color indexed="81"/>
            <rFont val="돋움"/>
            <family val="3"/>
            <charset val="129"/>
          </rPr>
          <t>일산중심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정액</t>
        </r>
        <r>
          <rPr>
            <sz val="10"/>
            <color indexed="81"/>
            <rFont val="Tahoma"/>
            <family val="2"/>
          </rPr>
          <t xml:space="preserve"> : 180</t>
        </r>
        <r>
          <rPr>
            <sz val="10"/>
            <color indexed="81"/>
            <rFont val="돋움"/>
            <family val="3"/>
            <charset val="129"/>
          </rPr>
          <t xml:space="preserve">만원
</t>
        </r>
        <r>
          <rPr>
            <sz val="10"/>
            <color indexed="81"/>
            <rFont val="Tahoma"/>
            <family val="2"/>
          </rPr>
          <t>+2/27~2/28 2</t>
        </r>
        <r>
          <rPr>
            <sz val="10"/>
            <color indexed="81"/>
            <rFont val="돋움"/>
            <family val="3"/>
            <charset val="129"/>
          </rPr>
          <t>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추가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운행분</t>
        </r>
        <r>
          <rPr>
            <sz val="10"/>
            <color indexed="81"/>
            <rFont val="Tahoma"/>
            <family val="2"/>
          </rPr>
          <t xml:space="preserve"> : 12</t>
        </r>
        <r>
          <rPr>
            <sz val="10"/>
            <color indexed="81"/>
            <rFont val="돋움"/>
            <family val="3"/>
            <charset val="129"/>
          </rPr>
          <t>만원</t>
        </r>
      </text>
    </comment>
    <comment ref="H95" authorId="0" shapeId="0" xr:uid="{D106E5CE-62AD-4984-BD95-BC9A74704A11}">
      <text>
        <r>
          <rPr>
            <b/>
            <sz val="11"/>
            <color indexed="81"/>
            <rFont val="Tahoma"/>
            <family val="2"/>
          </rPr>
          <t>BNS</t>
        </r>
        <r>
          <rPr>
            <b/>
            <sz val="11"/>
            <color indexed="81"/>
            <rFont val="돋움"/>
            <family val="3"/>
            <charset val="129"/>
          </rPr>
          <t>박혜영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월</t>
        </r>
        <r>
          <rPr>
            <sz val="11"/>
            <color indexed="81"/>
            <rFont val="Tahoma"/>
            <family val="2"/>
          </rPr>
          <t xml:space="preserve"> 250</t>
        </r>
        <r>
          <rPr>
            <sz val="11"/>
            <color indexed="81"/>
            <rFont val="돋움"/>
            <family val="3"/>
            <charset val="129"/>
          </rPr>
          <t>만원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정액이나</t>
        </r>
        <r>
          <rPr>
            <sz val="11"/>
            <color indexed="81"/>
            <rFont val="Tahoma"/>
            <family val="2"/>
          </rPr>
          <t>,
12/29~12/31(3</t>
        </r>
        <r>
          <rPr>
            <sz val="11"/>
            <color indexed="81"/>
            <rFont val="돋움"/>
            <family val="3"/>
            <charset val="129"/>
          </rPr>
          <t>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운행분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추가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반영된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금액</t>
        </r>
      </text>
    </comment>
    <comment ref="F97" authorId="2" shapeId="0" xr:uid="{0A339852-795A-4EFA-9B5B-11100A1BDD5E}">
      <text>
        <r>
          <rPr>
            <b/>
            <sz val="9"/>
            <color indexed="81"/>
            <rFont val="돋움"/>
            <family val="3"/>
            <charset val="129"/>
          </rPr>
          <t>김혜진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임대차계약기간</t>
        </r>
        <r>
          <rPr>
            <sz val="9"/>
            <color indexed="81"/>
            <rFont val="Tahoma"/>
            <family val="2"/>
          </rPr>
          <t xml:space="preserve">
2024.03.23~2025.03.22</t>
        </r>
      </text>
    </comment>
    <comment ref="J103" authorId="0" shapeId="0" xr:uid="{30A2F455-9AEF-489B-B65A-796D363424BF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멸균기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체크밸브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교체</t>
        </r>
      </text>
    </comment>
    <comment ref="J105" authorId="0" shapeId="0" xr:uid="{C437EEAA-1A36-4EAC-9E97-48BD0EADEF7D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아이로너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폴딩기계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수리비</t>
        </r>
      </text>
    </comment>
    <comment ref="L107" authorId="0" shapeId="0" xr:uid="{6F3F61D6-0DA6-448E-9878-8E4FFFE84356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보일러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화학세관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공사</t>
        </r>
      </text>
    </comment>
    <comment ref="H109" authorId="0" shapeId="0" xr:uid="{B8AEC0E3-C4B6-4042-B4FE-C989D4DB3AA2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탈수기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압력스위치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교체</t>
        </r>
      </text>
    </comment>
    <comment ref="L154" authorId="0" shapeId="0" xr:uid="{14C1AACF-E432-4182-B1CD-751201916D75}">
      <text>
        <r>
          <rPr>
            <b/>
            <sz val="9"/>
            <color indexed="81"/>
            <rFont val="Tahoma"/>
            <family val="2"/>
          </rPr>
          <t>BNS</t>
        </r>
        <r>
          <rPr>
            <b/>
            <sz val="9"/>
            <color indexed="81"/>
            <rFont val="돋움"/>
            <family val="3"/>
            <charset val="129"/>
          </rPr>
          <t>박혜영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9533</t>
        </r>
        <r>
          <rPr>
            <sz val="9"/>
            <color indexed="81"/>
            <rFont val="돋움"/>
            <family val="3"/>
            <charset val="129"/>
          </rPr>
          <t>카드</t>
        </r>
        <r>
          <rPr>
            <sz val="9"/>
            <color indexed="81"/>
            <rFont val="Tahoma"/>
            <family val="2"/>
          </rPr>
          <t xml:space="preserve"> : 128,909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7668</t>
        </r>
        <r>
          <rPr>
            <sz val="9"/>
            <color indexed="81"/>
            <rFont val="돋움"/>
            <family val="3"/>
            <charset val="129"/>
          </rPr>
          <t>카드</t>
        </r>
        <r>
          <rPr>
            <sz val="9"/>
            <color indexed="81"/>
            <rFont val="Tahoma"/>
            <family val="2"/>
          </rPr>
          <t xml:space="preserve"> : 109,000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간이</t>
        </r>
        <r>
          <rPr>
            <sz val="9"/>
            <color indexed="81"/>
            <rFont val="Tahoma"/>
            <family val="2"/>
          </rPr>
          <t>)_</t>
        </r>
        <r>
          <rPr>
            <sz val="9"/>
            <color indexed="81"/>
            <rFont val="돋움"/>
            <family val="3"/>
            <charset val="129"/>
          </rPr>
          <t>회식</t>
        </r>
      </text>
    </comment>
    <comment ref="J166" authorId="0" shapeId="0" xr:uid="{C6B862BD-34C4-494F-9FCF-15A8DF3B7CD9}">
      <text>
        <r>
          <rPr>
            <b/>
            <sz val="10"/>
            <color indexed="81"/>
            <rFont val="Tahoma"/>
            <family val="2"/>
          </rPr>
          <t>BNS</t>
        </r>
        <r>
          <rPr>
            <b/>
            <sz val="10"/>
            <color indexed="81"/>
            <rFont val="돋움"/>
            <family val="3"/>
            <charset val="129"/>
          </rPr>
          <t>박혜영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1</t>
        </r>
        <r>
          <rPr>
            <sz val="12"/>
            <color indexed="81"/>
            <rFont val="돋움"/>
            <family val="3"/>
            <charset val="129"/>
          </rPr>
          <t>월과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동일한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금액</t>
        </r>
        <r>
          <rPr>
            <sz val="12"/>
            <color indexed="81"/>
            <rFont val="Tahoma"/>
            <family val="2"/>
          </rPr>
          <t>O</t>
        </r>
      </text>
    </comment>
    <comment ref="G167" authorId="2" shapeId="0" xr:uid="{EAFC7808-2553-47AF-9184-BE1AE8652B7B}">
      <text>
        <r>
          <rPr>
            <b/>
            <sz val="12"/>
            <color indexed="81"/>
            <rFont val="돋움"/>
            <family val="3"/>
            <charset val="129"/>
          </rPr>
          <t>김혜진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더존</t>
        </r>
        <r>
          <rPr>
            <sz val="12"/>
            <color indexed="81"/>
            <rFont val="Tahoma"/>
            <family val="2"/>
          </rPr>
          <t xml:space="preserve"> ERP </t>
        </r>
        <r>
          <rPr>
            <sz val="12"/>
            <color indexed="81"/>
            <rFont val="돋움"/>
            <family val="3"/>
            <charset val="129"/>
          </rPr>
          <t>기간별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손익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판관비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전체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금액
</t>
        </r>
        <r>
          <rPr>
            <sz val="12"/>
            <color indexed="81"/>
            <rFont val="Tahoma"/>
            <family val="2"/>
          </rPr>
          <t xml:space="preserve">- </t>
        </r>
        <r>
          <rPr>
            <sz val="12"/>
            <color indexed="81"/>
            <rFont val="돋움"/>
            <family val="3"/>
            <charset val="129"/>
          </rPr>
          <t>스테리케어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관련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비용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제외
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감가상각비는</t>
        </r>
        <r>
          <rPr>
            <sz val="12"/>
            <color indexed="81"/>
            <rFont val="Tahoma"/>
            <family val="2"/>
          </rPr>
          <t xml:space="preserve"> ERP </t>
        </r>
        <r>
          <rPr>
            <sz val="12"/>
            <color indexed="81"/>
            <rFont val="돋움"/>
            <family val="3"/>
            <charset val="129"/>
          </rPr>
          <t>손익에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잡혀있지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않음으로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제외</t>
        </r>
        <r>
          <rPr>
            <sz val="12"/>
            <color indexed="81"/>
            <rFont val="Tahoma"/>
            <family val="2"/>
          </rPr>
          <t>)
(</t>
        </r>
        <r>
          <rPr>
            <sz val="12"/>
            <color indexed="81"/>
            <rFont val="돋움"/>
            <family val="3"/>
            <charset val="129"/>
          </rPr>
          <t>이자비용은</t>
        </r>
        <r>
          <rPr>
            <sz val="12"/>
            <color indexed="81"/>
            <rFont val="Tahoma"/>
            <family val="2"/>
          </rPr>
          <t xml:space="preserve"> ERP </t>
        </r>
        <r>
          <rPr>
            <sz val="12"/>
            <color indexed="81"/>
            <rFont val="돋움"/>
            <family val="3"/>
            <charset val="129"/>
          </rPr>
          <t>손익에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영업외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비용으로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제외</t>
        </r>
        <r>
          <rPr>
            <sz val="12"/>
            <color indexed="81"/>
            <rFont val="Tahoma"/>
            <family val="2"/>
          </rPr>
          <t>)</t>
        </r>
      </text>
    </comment>
    <comment ref="H195" authorId="0" shapeId="0" xr:uid="{23C56EE7-BBA7-42CB-A5B0-F8C7367B6F1D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카트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바퀴분</t>
        </r>
      </text>
    </comment>
    <comment ref="J195" authorId="0" shapeId="0" xr:uid="{B0CC6EDF-D571-4182-9AD7-F6D6457391CB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카트</t>
        </r>
        <r>
          <rPr>
            <sz val="12"/>
            <color indexed="81"/>
            <rFont val="Tahoma"/>
            <family val="2"/>
          </rPr>
          <t xml:space="preserve"> 30</t>
        </r>
        <r>
          <rPr>
            <sz val="12"/>
            <color indexed="81"/>
            <rFont val="돋움"/>
            <family val="3"/>
            <charset val="129"/>
          </rPr>
          <t>개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바퀴교체비용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운송비</t>
        </r>
      </text>
    </comment>
    <comment ref="J207" authorId="0" shapeId="0" xr:uid="{CABAA492-F786-4B9B-8D89-168CF4B212DF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Level4 </t>
        </r>
        <r>
          <rPr>
            <sz val="12"/>
            <color indexed="81"/>
            <rFont val="돋움"/>
            <family val="3"/>
            <charset val="129"/>
          </rPr>
          <t>원단</t>
        </r>
      </text>
    </comment>
    <comment ref="J210" authorId="0" shapeId="0" xr:uid="{DF61B317-4ADA-4870-9531-8FCC23B401CB}">
      <text>
        <r>
          <rPr>
            <b/>
            <sz val="12"/>
            <color indexed="81"/>
            <rFont val="Tahoma"/>
            <family val="2"/>
          </rPr>
          <t>BNS</t>
        </r>
        <r>
          <rPr>
            <b/>
            <sz val="12"/>
            <color indexed="81"/>
            <rFont val="돋움"/>
            <family val="3"/>
            <charset val="129"/>
          </rPr>
          <t>박혜영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25</t>
        </r>
        <r>
          <rPr>
            <sz val="12"/>
            <color indexed="81"/>
            <rFont val="돋움"/>
            <family val="3"/>
            <charset val="129"/>
          </rPr>
          <t>년</t>
        </r>
        <r>
          <rPr>
            <sz val="12"/>
            <color indexed="81"/>
            <rFont val="Tahoma"/>
            <family val="2"/>
          </rPr>
          <t xml:space="preserve"> 11</t>
        </r>
        <r>
          <rPr>
            <sz val="12"/>
            <color indexed="81"/>
            <rFont val="돋움"/>
            <family val="3"/>
            <charset val="129"/>
          </rPr>
          <t>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매입분
업체에서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타사업장으로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오발행하여</t>
        </r>
        <r>
          <rPr>
            <sz val="12"/>
            <color indexed="81"/>
            <rFont val="Tahoma"/>
            <family val="2"/>
          </rPr>
          <t xml:space="preserve"> 26</t>
        </r>
        <r>
          <rPr>
            <sz val="12"/>
            <color indexed="81"/>
            <rFont val="돋움"/>
            <family val="3"/>
            <charset val="129"/>
          </rPr>
          <t>년</t>
        </r>
        <r>
          <rPr>
            <sz val="12"/>
            <color indexed="81"/>
            <rFont val="Tahoma"/>
            <family val="2"/>
          </rPr>
          <t xml:space="preserve"> 2</t>
        </r>
        <r>
          <rPr>
            <sz val="12"/>
            <color indexed="81"/>
            <rFont val="돋움"/>
            <family val="3"/>
            <charset val="129"/>
          </rPr>
          <t>월로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재발행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결제함</t>
        </r>
      </text>
    </comment>
  </commentList>
</comments>
</file>

<file path=xl/sharedStrings.xml><?xml version="1.0" encoding="utf-8"?>
<sst xmlns="http://schemas.openxmlformats.org/spreadsheetml/2006/main" count="2592" uniqueCount="1028">
  <si>
    <t>◎ 스테리케어 손익 결산 (부가세별도가 기준)</t>
    <phoneticPr fontId="4" type="noConversion"/>
  </si>
  <si>
    <t>2025년 (귀속월 기준)</t>
    <phoneticPr fontId="4" type="noConversion"/>
  </si>
  <si>
    <t>대분류</t>
    <phoneticPr fontId="4" type="noConversion"/>
  </si>
  <si>
    <t>중분류</t>
    <phoneticPr fontId="4" type="noConversion"/>
  </si>
  <si>
    <t>소분류</t>
    <phoneticPr fontId="4" type="noConversion"/>
  </si>
  <si>
    <t>상대거래처</t>
    <phoneticPr fontId="4" type="noConversion"/>
  </si>
  <si>
    <t>상세내역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</si>
  <si>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</si>
  <si>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</si>
  <si>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</si>
  <si>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1분기 합계</t>
    <phoneticPr fontId="4" type="noConversion"/>
  </si>
  <si>
    <t>1분기          비율계상                (%)</t>
    <phoneticPr fontId="4" type="noConversion"/>
  </si>
  <si>
    <t>4월</t>
    <phoneticPr fontId="4" type="noConversion"/>
  </si>
  <si>
    <t>4월              비율계상                (%)</t>
    <phoneticPr fontId="4" type="noConversion"/>
  </si>
  <si>
    <t>5월</t>
  </si>
  <si>
    <t>5월              비율계상                (%)</t>
    <phoneticPr fontId="4" type="noConversion"/>
  </si>
  <si>
    <t>6월</t>
  </si>
  <si>
    <t>6월              비율계상                (%)</t>
    <phoneticPr fontId="4" type="noConversion"/>
  </si>
  <si>
    <t>2분기 합계</t>
    <phoneticPr fontId="4" type="noConversion"/>
  </si>
  <si>
    <t>2분기          비율계상                (%)</t>
    <phoneticPr fontId="4" type="noConversion"/>
  </si>
  <si>
    <t>7월</t>
  </si>
  <si>
    <t>7월              비율계상                (%)</t>
    <phoneticPr fontId="4" type="noConversion"/>
  </si>
  <si>
    <t>8월</t>
  </si>
  <si>
    <t>8월              비율계상                (%)</t>
    <phoneticPr fontId="4" type="noConversion"/>
  </si>
  <si>
    <t>9월</t>
  </si>
  <si>
    <t>9월              비율계상                (%)</t>
    <phoneticPr fontId="4" type="noConversion"/>
  </si>
  <si>
    <t>3분기 합계</t>
    <phoneticPr fontId="4" type="noConversion"/>
  </si>
  <si>
    <t>3분기          비율계상                (%)</t>
    <phoneticPr fontId="4" type="noConversion"/>
  </si>
  <si>
    <t>10월</t>
  </si>
  <si>
    <t>10월              비율계상                (%)</t>
    <phoneticPr fontId="4" type="noConversion"/>
  </si>
  <si>
    <t>11월</t>
  </si>
  <si>
    <t>11월              비율계상                (%)</t>
    <phoneticPr fontId="4" type="noConversion"/>
  </si>
  <si>
    <t>12월</t>
    <phoneticPr fontId="4" type="noConversion"/>
  </si>
  <si>
    <t>12월              비율계상                (%)</t>
    <phoneticPr fontId="4" type="noConversion"/>
  </si>
  <si>
    <t>4분기 합계</t>
    <phoneticPr fontId="4" type="noConversion"/>
  </si>
  <si>
    <t>4분기          비율계상                (%)</t>
    <phoneticPr fontId="4" type="noConversion"/>
  </si>
  <si>
    <t>2025년 합계</t>
    <phoneticPr fontId="4" type="noConversion"/>
  </si>
  <si>
    <t>비고</t>
    <phoneticPr fontId="4" type="noConversion"/>
  </si>
  <si>
    <t>매출</t>
    <phoneticPr fontId="4" type="noConversion"/>
  </si>
  <si>
    <t>서비스매출</t>
    <phoneticPr fontId="4" type="noConversion"/>
  </si>
  <si>
    <t>인천세종병원</t>
    <phoneticPr fontId="4" type="noConversion"/>
  </si>
  <si>
    <t>일반세탁물</t>
    <phoneticPr fontId="4" type="noConversion"/>
  </si>
  <si>
    <t>렌탈가운_멸균</t>
    <phoneticPr fontId="4" type="noConversion"/>
  </si>
  <si>
    <t>렌탈가운_비멸균</t>
    <phoneticPr fontId="4" type="noConversion"/>
  </si>
  <si>
    <t>렌탈 멸균 프로텍트커버</t>
    <phoneticPr fontId="4" type="noConversion"/>
  </si>
  <si>
    <t>인천세종병원 매출 합계</t>
    <phoneticPr fontId="4" type="noConversion"/>
  </si>
  <si>
    <t>부천세종병원</t>
    <phoneticPr fontId="4" type="noConversion"/>
  </si>
  <si>
    <t>부천세종병원 매출 합계</t>
    <phoneticPr fontId="4" type="noConversion"/>
  </si>
  <si>
    <t>메디탁</t>
    <phoneticPr fontId="4" type="noConversion"/>
  </si>
  <si>
    <t>일반세탁물(허균)</t>
    <phoneticPr fontId="4" type="noConversion"/>
  </si>
  <si>
    <t>일반세탁물(나움)</t>
    <phoneticPr fontId="4" type="noConversion"/>
  </si>
  <si>
    <t>일반세탁물(강서바른)</t>
    <phoneticPr fontId="4" type="noConversion"/>
  </si>
  <si>
    <t>메디탁 매출 합계</t>
    <phoneticPr fontId="4" type="noConversion"/>
  </si>
  <si>
    <r>
      <t xml:space="preserve">스테리케어 매출 합계액 </t>
    </r>
    <r>
      <rPr>
        <b/>
        <sz val="10"/>
        <color rgb="FFFF0000"/>
        <rFont val="맑은 고딕"/>
        <family val="3"/>
        <charset val="129"/>
        <scheme val="minor"/>
      </rPr>
      <t>(부가세 별도가 기준)</t>
    </r>
    <phoneticPr fontId="4" type="noConversion"/>
  </si>
  <si>
    <t>매출원가</t>
    <phoneticPr fontId="4" type="noConversion"/>
  </si>
  <si>
    <t>서비스                  매출원가</t>
    <phoneticPr fontId="4" type="noConversion"/>
  </si>
  <si>
    <t>가운원가</t>
    <phoneticPr fontId="4" type="noConversion"/>
  </si>
  <si>
    <t>가운원가반영</t>
    <phoneticPr fontId="4" type="noConversion"/>
  </si>
  <si>
    <t>가운 원가 합계</t>
    <phoneticPr fontId="4" type="noConversion"/>
  </si>
  <si>
    <t>노무비</t>
    <phoneticPr fontId="4" type="noConversion"/>
  </si>
  <si>
    <t>상시근로자</t>
    <phoneticPr fontId="4" type="noConversion"/>
  </si>
  <si>
    <t>직원급여</t>
    <phoneticPr fontId="4" type="noConversion"/>
  </si>
  <si>
    <t>전계룡</t>
    <phoneticPr fontId="4" type="noConversion"/>
  </si>
  <si>
    <t>스테리케어 총괄 이사 (9/23 입사)</t>
    <phoneticPr fontId="4" type="noConversion"/>
  </si>
  <si>
    <t>김계순</t>
    <phoneticPr fontId="4" type="noConversion"/>
  </si>
  <si>
    <r>
      <t>23.06.15 입사</t>
    </r>
    <r>
      <rPr>
        <b/>
        <sz val="10"/>
        <color rgb="FFFF0000"/>
        <rFont val="맑은 고딕"/>
        <family val="3"/>
        <charset val="129"/>
        <scheme val="minor"/>
      </rPr>
      <t xml:space="preserve"> (멸균실 정리포장)</t>
    </r>
    <phoneticPr fontId="4" type="noConversion"/>
  </si>
  <si>
    <t>박우생</t>
    <phoneticPr fontId="4" type="noConversion"/>
  </si>
  <si>
    <t>생산총괄팀장</t>
    <phoneticPr fontId="4" type="noConversion"/>
  </si>
  <si>
    <t>박정란</t>
    <phoneticPr fontId="4" type="noConversion"/>
  </si>
  <si>
    <r>
      <rPr>
        <b/>
        <sz val="10"/>
        <color rgb="FFFF0000"/>
        <rFont val="맑은 고딕"/>
        <family val="3"/>
        <charset val="129"/>
        <scheme val="minor"/>
      </rPr>
      <t>멸균실 정리포장</t>
    </r>
    <r>
      <rPr>
        <sz val="10"/>
        <rFont val="맑은 고딕"/>
        <family val="3"/>
        <charset val="129"/>
        <scheme val="minor"/>
      </rPr>
      <t xml:space="preserve"> (중국)</t>
    </r>
    <r>
      <rPr>
        <b/>
        <sz val="10"/>
        <color rgb="FF0000FF"/>
        <rFont val="맑은 고딕"/>
        <family val="3"/>
        <charset val="129"/>
        <scheme val="minor"/>
      </rPr>
      <t xml:space="preserve"> H2</t>
    </r>
    <phoneticPr fontId="4" type="noConversion"/>
  </si>
  <si>
    <t>김하나</t>
    <phoneticPr fontId="4" type="noConversion"/>
  </si>
  <si>
    <t>정리포장 주임 (5/06 입사)</t>
    <phoneticPr fontId="4" type="noConversion"/>
  </si>
  <si>
    <t>권혁</t>
  </si>
  <si>
    <t>24.06.17 입사 (중간관리자)</t>
    <phoneticPr fontId="4" type="noConversion"/>
  </si>
  <si>
    <t>직원급여</t>
  </si>
  <si>
    <t>고호성</t>
    <phoneticPr fontId="4" type="noConversion"/>
  </si>
  <si>
    <t>24.10.29 입사 (정리포장)</t>
    <phoneticPr fontId="4" type="noConversion"/>
  </si>
  <si>
    <t>강낙순</t>
    <phoneticPr fontId="4" type="noConversion"/>
  </si>
  <si>
    <t>25.05.02 입사 (정리포장)</t>
    <phoneticPr fontId="4" type="noConversion"/>
  </si>
  <si>
    <t>린(캠남)_LE THI CAM NHO</t>
  </si>
  <si>
    <r>
      <t>25.11.06 입사 (다리미)</t>
    </r>
    <r>
      <rPr>
        <b/>
        <sz val="10"/>
        <color rgb="FF0000FF"/>
        <rFont val="맑은 고딕"/>
        <family val="3"/>
        <charset val="129"/>
        <scheme val="minor"/>
      </rPr>
      <t xml:space="preserve"> F4</t>
    </r>
    <phoneticPr fontId="4" type="noConversion"/>
  </si>
  <si>
    <t>김찬식</t>
    <phoneticPr fontId="4" type="noConversion"/>
  </si>
  <si>
    <t>25.12.01 입사 (건조)</t>
    <phoneticPr fontId="4" type="noConversion"/>
  </si>
  <si>
    <t>다라_BHATTA TARA</t>
    <phoneticPr fontId="4" type="noConversion"/>
  </si>
  <si>
    <r>
      <t>25.10.20 입사 (포장)</t>
    </r>
    <r>
      <rPr>
        <b/>
        <sz val="10"/>
        <color rgb="FF0000FF"/>
        <rFont val="맑은 고딕"/>
        <family val="3"/>
        <charset val="129"/>
        <scheme val="minor"/>
      </rPr>
      <t xml:space="preserve"> G1</t>
    </r>
    <r>
      <rPr>
        <sz val="10"/>
        <rFont val="맑은 고딕"/>
        <family val="3"/>
        <charset val="129"/>
        <scheme val="minor"/>
      </rPr>
      <t xml:space="preserve"> &gt; </t>
    </r>
    <r>
      <rPr>
        <b/>
        <sz val="10"/>
        <color rgb="FF0000FF"/>
        <rFont val="맑은 고딕"/>
        <family val="3"/>
        <charset val="129"/>
        <scheme val="minor"/>
      </rPr>
      <t>25.11.14</t>
    </r>
    <r>
      <rPr>
        <sz val="10"/>
        <rFont val="맑은 고딕"/>
        <family val="3"/>
        <charset val="129"/>
        <scheme val="minor"/>
      </rPr>
      <t>(체류자격활동허가 처리후 서류상 입사일)</t>
    </r>
    <phoneticPr fontId="4" type="noConversion"/>
  </si>
  <si>
    <t>수실</t>
  </si>
  <si>
    <t>25.05.19 입사</t>
  </si>
  <si>
    <t>바크누아_SALYKBAYEV BAKNUR</t>
    <phoneticPr fontId="4" type="noConversion"/>
  </si>
  <si>
    <r>
      <t>25.10.27 입사 (건조)</t>
    </r>
    <r>
      <rPr>
        <b/>
        <sz val="10"/>
        <color rgb="FF0000FF"/>
        <rFont val="맑은 고딕"/>
        <family val="3"/>
        <charset val="129"/>
        <scheme val="minor"/>
      </rPr>
      <t xml:space="preserve"> G1 &gt; 25.12.11</t>
    </r>
    <r>
      <rPr>
        <sz val="10"/>
        <rFont val="맑은 고딕"/>
        <family val="3"/>
        <charset val="129"/>
        <scheme val="minor"/>
      </rPr>
      <t xml:space="preserve"> (체류자격활동허가 처리후 서류상 입사일)</t>
    </r>
    <phoneticPr fontId="4" type="noConversion"/>
  </si>
  <si>
    <t>라나_EM SVETLANA</t>
  </si>
  <si>
    <t>2025.12.29 입사 (정리포장)</t>
    <phoneticPr fontId="4" type="noConversion"/>
  </si>
  <si>
    <t>단기근무자</t>
    <phoneticPr fontId="4" type="noConversion"/>
  </si>
  <si>
    <t>최백용</t>
    <phoneticPr fontId="4" type="noConversion"/>
  </si>
  <si>
    <t>부천세종 린넨물 이송 아르바이트</t>
    <phoneticPr fontId="4" type="noConversion"/>
  </si>
  <si>
    <t>세금(3.3%)공제 전</t>
    <phoneticPr fontId="4" type="noConversion"/>
  </si>
  <si>
    <t>외주용역비</t>
    <phoneticPr fontId="4" type="noConversion"/>
  </si>
  <si>
    <t>범호개발</t>
    <phoneticPr fontId="4" type="noConversion"/>
  </si>
  <si>
    <t>인천세종 린넨물 이송 업체</t>
    <phoneticPr fontId="4" type="noConversion"/>
  </si>
  <si>
    <t>부가세 별도</t>
    <phoneticPr fontId="4" type="noConversion"/>
  </si>
  <si>
    <t>외주용역비</t>
  </si>
  <si>
    <t>굿모닝인력(제외와이건설)</t>
    <phoneticPr fontId="4" type="noConversion"/>
  </si>
  <si>
    <t>외국인 노동자 (일당제)_일 11만원(VAT별도)</t>
    <phoneticPr fontId="4" type="noConversion"/>
  </si>
  <si>
    <t>지급수수료</t>
    <phoneticPr fontId="4" type="noConversion"/>
  </si>
  <si>
    <t>국민연금</t>
    <phoneticPr fontId="4" type="noConversion"/>
  </si>
  <si>
    <t>국민연금 (회사부담금)</t>
    <phoneticPr fontId="4" type="noConversion"/>
  </si>
  <si>
    <t>복리후생비</t>
    <phoneticPr fontId="4" type="noConversion"/>
  </si>
  <si>
    <t>건강보험</t>
    <phoneticPr fontId="4" type="noConversion"/>
  </si>
  <si>
    <t>보험료</t>
    <phoneticPr fontId="4" type="noConversion"/>
  </si>
  <si>
    <t>고용보험</t>
    <phoneticPr fontId="4" type="noConversion"/>
  </si>
  <si>
    <t>고용보험 (회사부담금)</t>
    <phoneticPr fontId="4" type="noConversion"/>
  </si>
  <si>
    <t>산재보험</t>
    <phoneticPr fontId="4" type="noConversion"/>
  </si>
  <si>
    <t>산재보험 (스테리케어)</t>
    <phoneticPr fontId="4" type="noConversion"/>
  </si>
  <si>
    <t>퇴직연금예치금</t>
    <phoneticPr fontId="4" type="noConversion"/>
  </si>
  <si>
    <t>출국만기보험</t>
    <phoneticPr fontId="4" type="noConversion"/>
  </si>
  <si>
    <t>박정란(H-2) 출국만기보험(퇴직금 개념)</t>
    <phoneticPr fontId="4" type="noConversion"/>
  </si>
  <si>
    <t>납부총액</t>
    <phoneticPr fontId="4" type="noConversion"/>
  </si>
  <si>
    <t>특이사항</t>
    <phoneticPr fontId="4" type="noConversion"/>
  </si>
  <si>
    <r>
      <t>잔여연차수당/</t>
    </r>
    <r>
      <rPr>
        <sz val="10"/>
        <color rgb="FFFF0000"/>
        <rFont val="맑은 고딕"/>
        <family val="3"/>
        <charset val="129"/>
        <scheme val="minor"/>
      </rPr>
      <t>중도퇴사자 연차수당</t>
    </r>
    <phoneticPr fontId="4" type="noConversion"/>
  </si>
  <si>
    <t>압둘라_MUHAMMAD</t>
    <phoneticPr fontId="4" type="noConversion"/>
  </si>
  <si>
    <r>
      <t>25.01.10 입사</t>
    </r>
    <r>
      <rPr>
        <b/>
        <sz val="10"/>
        <color rgb="FF0000FF"/>
        <rFont val="맑은 고딕"/>
        <family val="3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 xml:space="preserve">(25.08.08 퇴사) </t>
    </r>
    <r>
      <rPr>
        <sz val="10"/>
        <color theme="1" tint="4.9989318521683403E-2"/>
        <rFont val="맑은 고딕"/>
        <family val="3"/>
        <charset val="129"/>
        <scheme val="minor"/>
      </rPr>
      <t>(분류)</t>
    </r>
    <r>
      <rPr>
        <b/>
        <sz val="10"/>
        <color rgb="FF0000FF"/>
        <rFont val="맑은 고딕"/>
        <family val="3"/>
        <charset val="129"/>
        <scheme val="minor"/>
      </rPr>
      <t xml:space="preserve"> (불법체류자)</t>
    </r>
    <phoneticPr fontId="4" type="noConversion"/>
  </si>
  <si>
    <t>노무비 합계액 (직원급여+ 그외)</t>
    <phoneticPr fontId="4" type="noConversion"/>
  </si>
  <si>
    <t>매출대비 노무비 1 비율(%)</t>
    <phoneticPr fontId="4" type="noConversion"/>
  </si>
  <si>
    <t>인건비2</t>
    <phoneticPr fontId="4" type="noConversion"/>
  </si>
  <si>
    <t>퇴직급여</t>
    <phoneticPr fontId="4" type="noConversion"/>
  </si>
  <si>
    <t>전계룡</t>
  </si>
  <si>
    <t>고호성</t>
  </si>
  <si>
    <t>노무비 합계액 (퇴직금)</t>
    <phoneticPr fontId="4" type="noConversion"/>
  </si>
  <si>
    <t>매출대비 노무비 1+2 비율(%)</t>
    <phoneticPr fontId="4" type="noConversion"/>
  </si>
  <si>
    <t>매출-노무비 비율(%)</t>
    <phoneticPr fontId="4" type="noConversion"/>
  </si>
  <si>
    <t>기타경비</t>
    <phoneticPr fontId="4" type="noConversion"/>
  </si>
  <si>
    <t>지급수수료</t>
  </si>
  <si>
    <t>LEVEL 2 PURPLE 가운원단 유연제 포함/불포함 내수도 비교 테스트비</t>
    <phoneticPr fontId="4" type="noConversion"/>
  </si>
  <si>
    <t>스마일식당</t>
    <phoneticPr fontId="4" type="noConversion"/>
  </si>
  <si>
    <t>스테리케어 직원 중식대</t>
    <phoneticPr fontId="4" type="noConversion"/>
  </si>
  <si>
    <t>박우생_(주)우태건설</t>
    <phoneticPr fontId="4" type="noConversion"/>
  </si>
  <si>
    <t>직원 출퇴근 차량 보험료 지원(카니발)</t>
    <phoneticPr fontId="4" type="noConversion"/>
  </si>
  <si>
    <t>통신비</t>
  </si>
  <si>
    <t>주식회사 케이티</t>
    <phoneticPr fontId="4" type="noConversion"/>
  </si>
  <si>
    <t>인터넷/일반전화 외 (031-984-6606)</t>
    <phoneticPr fontId="4" type="noConversion"/>
  </si>
  <si>
    <t>지급임차료</t>
  </si>
  <si>
    <t>지광선</t>
    <phoneticPr fontId="4" type="noConversion"/>
  </si>
  <si>
    <t>스테리케어 임대료</t>
    <phoneticPr fontId="4" type="noConversion"/>
  </si>
  <si>
    <t>SK매직</t>
    <phoneticPr fontId="4" type="noConversion"/>
  </si>
  <si>
    <t>정수기 렌탈료 (2대)</t>
    <phoneticPr fontId="4" type="noConversion"/>
  </si>
  <si>
    <t>상통물류(이상천)</t>
    <phoneticPr fontId="4" type="noConversion"/>
  </si>
  <si>
    <t>종이세금계산서 발행</t>
  </si>
  <si>
    <t>㈜원진운송</t>
    <phoneticPr fontId="4" type="noConversion"/>
  </si>
  <si>
    <t>차량지입료</t>
    <phoneticPr fontId="4" type="noConversion"/>
  </si>
  <si>
    <r>
      <t>최수진(월세</t>
    </r>
    <r>
      <rPr>
        <b/>
        <sz val="10"/>
        <color rgb="FF0000FF"/>
        <rFont val="맑은 고딕"/>
        <family val="3"/>
        <charset val="129"/>
        <scheme val="minor"/>
      </rPr>
      <t>후불</t>
    </r>
    <r>
      <rPr>
        <sz val="10"/>
        <color theme="1"/>
        <rFont val="맑은 고딕"/>
        <family val="3"/>
        <charset val="129"/>
        <scheme val="minor"/>
      </rPr>
      <t>)</t>
    </r>
    <phoneticPr fontId="4" type="noConversion"/>
  </si>
  <si>
    <t>김포 통진읍 마송리 530-1 304호</t>
    <phoneticPr fontId="4" type="noConversion"/>
  </si>
  <si>
    <t>수도광열비</t>
  </si>
  <si>
    <t>김포시맑은물사업소</t>
    <phoneticPr fontId="4" type="noConversion"/>
  </si>
  <si>
    <t>상하수도요금 및 물이용부담금</t>
    <phoneticPr fontId="4" type="noConversion"/>
  </si>
  <si>
    <t>지하수이용부담금</t>
    <phoneticPr fontId="4" type="noConversion"/>
  </si>
  <si>
    <t>㈜해동에너지</t>
    <phoneticPr fontId="4" type="noConversion"/>
  </si>
  <si>
    <t>LPG가스충전</t>
    <phoneticPr fontId="4" type="noConversion"/>
  </si>
  <si>
    <t>전력비</t>
    <phoneticPr fontId="4" type="noConversion"/>
  </si>
  <si>
    <t>한국전력공사</t>
    <phoneticPr fontId="4" type="noConversion"/>
  </si>
  <si>
    <t>스테리케어 전기요금</t>
    <phoneticPr fontId="4" type="noConversion"/>
  </si>
  <si>
    <t>부가세별도</t>
    <phoneticPr fontId="4" type="noConversion"/>
  </si>
  <si>
    <t>총 납부요금에서 부가세대급금만 뺀 금액 (전력기금은 포함)</t>
    <phoneticPr fontId="4" type="noConversion"/>
  </si>
  <si>
    <t>세금과공과</t>
  </si>
  <si>
    <t>김포시</t>
    <phoneticPr fontId="4" type="noConversion"/>
  </si>
  <si>
    <t>지역자원시설세 / 등록면허세</t>
    <phoneticPr fontId="4" type="noConversion"/>
  </si>
  <si>
    <t>주민세(사업소분)_귀전로154번길 93</t>
    <phoneticPr fontId="4" type="noConversion"/>
  </si>
  <si>
    <t>재산세(건축물)_지하수관정시설분)_연 1회 납부</t>
    <phoneticPr fontId="4" type="noConversion"/>
  </si>
  <si>
    <t>부천시</t>
    <phoneticPr fontId="4" type="noConversion"/>
  </si>
  <si>
    <t>자동차세 (마이티)</t>
    <phoneticPr fontId="4" type="noConversion"/>
  </si>
  <si>
    <t>세탁물 처리업 등록면허세</t>
    <phoneticPr fontId="4" type="noConversion"/>
  </si>
  <si>
    <t>배출시설(폐수) 등록면허세</t>
    <phoneticPr fontId="4" type="noConversion"/>
  </si>
  <si>
    <t>수선비</t>
    <phoneticPr fontId="4" type="noConversion"/>
  </si>
  <si>
    <t>디에스이엔지(DS ENG)</t>
    <phoneticPr fontId="4" type="noConversion"/>
  </si>
  <si>
    <t>보일러수리/보일러 청관제/세정작업 및 연비조정</t>
    <phoneticPr fontId="4" type="noConversion"/>
  </si>
  <si>
    <t>에버텍</t>
    <phoneticPr fontId="4" type="noConversion"/>
  </si>
  <si>
    <t>폐수처리장 집수조 PH센서 교체, 황산알루미늄 교반탱크 에어브로와 고장 교체</t>
    <phoneticPr fontId="4" type="noConversion"/>
  </si>
  <si>
    <t>경인팩</t>
    <phoneticPr fontId="4" type="noConversion"/>
  </si>
  <si>
    <t>결속기 2대 출장수리_새부리, 스트리퍼헤드 교체</t>
    <phoneticPr fontId="4" type="noConversion"/>
  </si>
  <si>
    <t>한신메디칼주식회사</t>
    <phoneticPr fontId="4" type="noConversion"/>
  </si>
  <si>
    <t>도어 가스켓 (Main/Sub) 교체</t>
    <phoneticPr fontId="4" type="noConversion"/>
  </si>
  <si>
    <t>LMS(엘엠에스)</t>
    <phoneticPr fontId="4" type="noConversion"/>
  </si>
  <si>
    <t>세탁기 수리비</t>
    <phoneticPr fontId="4" type="noConversion"/>
  </si>
  <si>
    <t>알평기계</t>
    <phoneticPr fontId="4" type="noConversion"/>
  </si>
  <si>
    <t>탈수기aod 펌프수리(1"*pp)</t>
    <phoneticPr fontId="4" type="noConversion"/>
  </si>
  <si>
    <t>현대해상 자동차 보험</t>
    <phoneticPr fontId="4" type="noConversion"/>
  </si>
  <si>
    <t>마이티 (25.05.08~26.05.08)</t>
    <phoneticPr fontId="4" type="noConversion"/>
  </si>
  <si>
    <t>DB손해보험 (8/12_추가반영)</t>
    <phoneticPr fontId="4" type="noConversion"/>
  </si>
  <si>
    <t>화재보험 (5년만기/5년납/월납)</t>
    <phoneticPr fontId="4" type="noConversion"/>
  </si>
  <si>
    <t>소모품비</t>
  </si>
  <si>
    <t>대성씨앤에스㈜양산공장</t>
    <phoneticPr fontId="4" type="noConversion"/>
  </si>
  <si>
    <t>세제_프라임 소프트 외</t>
    <phoneticPr fontId="4" type="noConversion"/>
  </si>
  <si>
    <t>PE BAND(28mm2kg*10/흰)20kg 6 X 78,000</t>
    <phoneticPr fontId="4" type="noConversion"/>
  </si>
  <si>
    <t>㈜케이엠헬스케어</t>
    <phoneticPr fontId="4" type="noConversion"/>
  </si>
  <si>
    <t>EASY BAND NURSE CAP 100EA/1CASE 외_캡, 신발커버</t>
    <phoneticPr fontId="4" type="noConversion"/>
  </si>
  <si>
    <t>씨앤제이메디칼</t>
    <phoneticPr fontId="4" type="noConversion"/>
  </si>
  <si>
    <t>Attest Super Rapid 5 Steam Test Pack(24ea)</t>
    <phoneticPr fontId="4" type="noConversion"/>
  </si>
  <si>
    <t>㈜대율이엔텍</t>
    <phoneticPr fontId="4" type="noConversion"/>
  </si>
  <si>
    <t>황산알루미늄(17%) 외</t>
    <phoneticPr fontId="4" type="noConversion"/>
  </si>
  <si>
    <t>㈜오성크린몰</t>
    <phoneticPr fontId="4" type="noConversion"/>
  </si>
  <si>
    <t>녹물 제거제 18L</t>
    <phoneticPr fontId="4" type="noConversion"/>
  </si>
  <si>
    <t>프린터용지</t>
    <phoneticPr fontId="4" type="noConversion"/>
  </si>
  <si>
    <t>화흥섬유</t>
    <phoneticPr fontId="4" type="noConversion"/>
  </si>
  <si>
    <t>단추 외</t>
    <phoneticPr fontId="4" type="noConversion"/>
  </si>
  <si>
    <t>제이와이컴퍼니</t>
    <phoneticPr fontId="4" type="noConversion"/>
  </si>
  <si>
    <t>가시스냅_가운제작소모품(똑딱이단추)</t>
    <phoneticPr fontId="4" type="noConversion"/>
  </si>
  <si>
    <t>에스진컴퍼니(구,에스진웍스)</t>
    <phoneticPr fontId="4" type="noConversion"/>
  </si>
  <si>
    <t>카트 커버</t>
    <phoneticPr fontId="4" type="noConversion"/>
  </si>
  <si>
    <t>선지급 데일리 자금집행</t>
    <phoneticPr fontId="4" type="noConversion"/>
  </si>
  <si>
    <t>소모품 일체 (정제염 외 필요 물품) 부가세별도</t>
    <phoneticPr fontId="4" type="noConversion"/>
  </si>
  <si>
    <t>시트별첨</t>
    <phoneticPr fontId="4" type="noConversion"/>
  </si>
  <si>
    <t>유비코어</t>
    <phoneticPr fontId="4" type="noConversion"/>
  </si>
  <si>
    <t>RFID세탁물관리시스템 서버호스팅</t>
    <phoneticPr fontId="4" type="noConversion"/>
  </si>
  <si>
    <t>㈜신이에스안전공사</t>
    <phoneticPr fontId="4" type="noConversion"/>
  </si>
  <si>
    <t>전기안전관리수수료/차단기배터리교체</t>
    <phoneticPr fontId="4" type="noConversion"/>
  </si>
  <si>
    <t>한국가스안전공사</t>
    <phoneticPr fontId="4" type="noConversion"/>
  </si>
  <si>
    <t>LPG가스 정기검사 수수료 (연 1회)</t>
    <phoneticPr fontId="4" type="noConversion"/>
  </si>
  <si>
    <t>교차로/당근마켓</t>
    <phoneticPr fontId="4" type="noConversion"/>
  </si>
  <si>
    <t>채용공고 기재(온라인/신문.지면)</t>
    <phoneticPr fontId="4" type="noConversion"/>
  </si>
  <si>
    <t>잡비</t>
    <phoneticPr fontId="4" type="noConversion"/>
  </si>
  <si>
    <t>잡비</t>
  </si>
  <si>
    <t>오른환경</t>
    <phoneticPr fontId="4" type="noConversion"/>
  </si>
  <si>
    <t>폐기물처리비 (불량가운폐기 외)</t>
    <phoneticPr fontId="4" type="noConversion"/>
  </si>
  <si>
    <t>견본비</t>
    <phoneticPr fontId="4" type="noConversion"/>
  </si>
  <si>
    <t>㈜일조완성센터</t>
    <phoneticPr fontId="4" type="noConversion"/>
  </si>
  <si>
    <t>전시회 샘플</t>
    <phoneticPr fontId="4" type="noConversion"/>
  </si>
  <si>
    <t>광고선전비</t>
    <phoneticPr fontId="4" type="noConversion"/>
  </si>
  <si>
    <t>㈜메디칼타임즈</t>
    <phoneticPr fontId="4" type="noConversion"/>
  </si>
  <si>
    <t>광고이용료</t>
    <phoneticPr fontId="4" type="noConversion"/>
  </si>
  <si>
    <t>미지급비용</t>
    <phoneticPr fontId="4" type="noConversion"/>
  </si>
  <si>
    <t>우리카드(9533) 공용</t>
    <phoneticPr fontId="4" type="noConversion"/>
  </si>
  <si>
    <t>신한 하이패스</t>
    <phoneticPr fontId="4" type="noConversion"/>
  </si>
  <si>
    <t>마이티</t>
    <phoneticPr fontId="4" type="noConversion"/>
  </si>
  <si>
    <t>유형자산</t>
    <phoneticPr fontId="4" type="noConversion"/>
  </si>
  <si>
    <t>감가상각비</t>
    <phoneticPr fontId="4" type="noConversion"/>
  </si>
  <si>
    <t>기계장치</t>
  </si>
  <si>
    <t>정률법 (5년상각)</t>
    <phoneticPr fontId="4" type="noConversion"/>
  </si>
  <si>
    <t>차량운반구</t>
  </si>
  <si>
    <t>비품</t>
  </si>
  <si>
    <t>시설장치</t>
  </si>
  <si>
    <t>무형자산</t>
    <phoneticPr fontId="4" type="noConversion"/>
  </si>
  <si>
    <t>소프트웨어</t>
  </si>
  <si>
    <t>정액법 (5년상각)</t>
    <phoneticPr fontId="4" type="noConversion"/>
  </si>
  <si>
    <t>개발비</t>
    <phoneticPr fontId="4" type="noConversion"/>
  </si>
  <si>
    <t>정액법 (5년상각)</t>
  </si>
  <si>
    <t>기타의무형자산</t>
  </si>
  <si>
    <t>감가상각비 합계</t>
    <phoneticPr fontId="4" type="noConversion"/>
  </si>
  <si>
    <t>경비 합계액</t>
    <phoneticPr fontId="4" type="noConversion"/>
  </si>
  <si>
    <t>매출대비 경비 비율(%)</t>
    <phoneticPr fontId="4" type="noConversion"/>
  </si>
  <si>
    <t>용역원가</t>
    <phoneticPr fontId="4" type="noConversion"/>
  </si>
  <si>
    <t>용역원가 비율(%)</t>
    <phoneticPr fontId="4" type="noConversion"/>
  </si>
  <si>
    <t>판관비</t>
    <phoneticPr fontId="4" type="noConversion"/>
  </si>
  <si>
    <t>㈜서울부스애드컴</t>
    <phoneticPr fontId="4" type="noConversion"/>
  </si>
  <si>
    <t xml:space="preserve">전시회 블록 부스 렌탈료 </t>
    <phoneticPr fontId="4" type="noConversion"/>
  </si>
  <si>
    <t>지급임차료</t>
    <phoneticPr fontId="4" type="noConversion"/>
  </si>
  <si>
    <t>차량유지비</t>
    <phoneticPr fontId="4" type="noConversion"/>
  </si>
  <si>
    <t>삼부자동차공업사</t>
    <phoneticPr fontId="4" type="noConversion"/>
  </si>
  <si>
    <t>마이티 자동차검사 불합격 사항 차량수리</t>
    <phoneticPr fontId="4" type="noConversion"/>
  </si>
  <si>
    <t>소모품비</t>
    <phoneticPr fontId="4" type="noConversion"/>
  </si>
  <si>
    <t>㈜후이즈</t>
    <phoneticPr fontId="4" type="noConversion"/>
  </si>
  <si>
    <t>홈페이지 도메인 www.stericare.co.kr</t>
    <phoneticPr fontId="4" type="noConversion"/>
  </si>
  <si>
    <t>메쎄이상</t>
    <phoneticPr fontId="4" type="noConversion"/>
  </si>
  <si>
    <t>2025 KHF 국제 병원,헬스테크 박람회 계약금(50%)</t>
    <phoneticPr fontId="4" type="noConversion"/>
  </si>
  <si>
    <t>영업외비용</t>
    <phoneticPr fontId="4" type="noConversion"/>
  </si>
  <si>
    <t>이자비용</t>
    <phoneticPr fontId="4" type="noConversion"/>
  </si>
  <si>
    <t>농협은행 대출</t>
    <phoneticPr fontId="4" type="noConversion"/>
  </si>
  <si>
    <t>농협 담보 및 신용 대출이자 (총 7.7억)</t>
    <phoneticPr fontId="4" type="noConversion"/>
  </si>
  <si>
    <t>지급총액</t>
    <phoneticPr fontId="4" type="noConversion"/>
  </si>
  <si>
    <t>비용계상</t>
    <phoneticPr fontId="4" type="noConversion"/>
  </si>
  <si>
    <t>㈜비앤에스파트너</t>
    <phoneticPr fontId="4" type="noConversion"/>
  </si>
  <si>
    <t>본사 판관비 20% 스테리케어 비용으로 계상</t>
    <phoneticPr fontId="4" type="noConversion"/>
  </si>
  <si>
    <t>판관비 합계액</t>
    <phoneticPr fontId="4" type="noConversion"/>
  </si>
  <si>
    <t>매출대비 판관비 비율(%)</t>
    <phoneticPr fontId="4" type="noConversion"/>
  </si>
  <si>
    <t>노무비+경비+판관비 합계액</t>
    <phoneticPr fontId="4" type="noConversion"/>
  </si>
  <si>
    <t>매출대비 총비용 비율(%)</t>
    <phoneticPr fontId="4" type="noConversion"/>
  </si>
  <si>
    <t>영업이익</t>
    <phoneticPr fontId="4" type="noConversion"/>
  </si>
  <si>
    <t>영업이익 비율(%)</t>
    <phoneticPr fontId="4" type="noConversion"/>
  </si>
  <si>
    <t>대상금액</t>
    <phoneticPr fontId="4" type="noConversion"/>
  </si>
  <si>
    <t>스테리케어 ERP 재무제표 반영 비용</t>
    <phoneticPr fontId="4" type="noConversion"/>
  </si>
  <si>
    <t>감가상각비(결산)-보험료(선급비용결산대체분)-대손상각비(결산)-무형고정자산상각(결산)</t>
    <phoneticPr fontId="4" type="noConversion"/>
  </si>
  <si>
    <t>◎ 스테리케어 신규 자산 취득 현황</t>
    <phoneticPr fontId="4" type="noConversion"/>
  </si>
  <si>
    <t>마감 후 차액 발생분</t>
    <phoneticPr fontId="4" type="noConversion"/>
  </si>
  <si>
    <t>★참고용 표기</t>
    <phoneticPr fontId="4" type="noConversion"/>
  </si>
  <si>
    <t>작성일 : 2025-03-19</t>
    <phoneticPr fontId="4" type="noConversion"/>
  </si>
  <si>
    <t>★24년 신규 자산 취득분 감가상각비 / 미반영</t>
    <phoneticPr fontId="4" type="noConversion"/>
  </si>
  <si>
    <t>보고일 : 2025-03-19</t>
    <phoneticPr fontId="4" type="noConversion"/>
  </si>
  <si>
    <t>자산</t>
    <phoneticPr fontId="4" type="noConversion"/>
  </si>
  <si>
    <t>제이와이컴퍼니 주식회사</t>
    <phoneticPr fontId="4" type="noConversion"/>
  </si>
  <si>
    <t>카트(기본형(접이식),하단막이(고정식))</t>
    <phoneticPr fontId="4" type="noConversion"/>
  </si>
  <si>
    <t>에스진웍스</t>
    <phoneticPr fontId="4" type="noConversion"/>
  </si>
  <si>
    <t>카트커버 60개* 개당 73,000원</t>
    <phoneticPr fontId="4" type="noConversion"/>
  </si>
  <si>
    <t>다봄씨엔에스</t>
    <phoneticPr fontId="4" type="noConversion"/>
  </si>
  <si>
    <t>CCTV 설치비용</t>
    <phoneticPr fontId="4" type="noConversion"/>
  </si>
  <si>
    <t>에디슨전기설비</t>
  </si>
  <si>
    <t>전기설비공사</t>
  </si>
  <si>
    <t>엘엠에스(LMS)</t>
    <phoneticPr fontId="4" type="noConversion"/>
  </si>
  <si>
    <t>산업용 세탁기 2대 / 건조기 1대</t>
    <phoneticPr fontId="4" type="noConversion"/>
  </si>
  <si>
    <t>지엠에스(GMS)</t>
    <phoneticPr fontId="4" type="noConversion"/>
  </si>
  <si>
    <t>세탁기 썬택키보드 개조</t>
    <phoneticPr fontId="4" type="noConversion"/>
  </si>
  <si>
    <t>개발비</t>
  </si>
  <si>
    <t>RFID세탁물관리시스템 웹페이지 수정/보완</t>
    <phoneticPr fontId="4" type="noConversion"/>
  </si>
  <si>
    <t>RFID세탁물관리시스템 개발비분납</t>
    <phoneticPr fontId="4" type="noConversion"/>
  </si>
  <si>
    <t>자산 구입 합계</t>
    <phoneticPr fontId="4" type="noConversion"/>
  </si>
  <si>
    <t>VAT별도가 기준</t>
    <phoneticPr fontId="4" type="noConversion"/>
  </si>
  <si>
    <t>섬유자산</t>
    <phoneticPr fontId="4" type="noConversion"/>
  </si>
  <si>
    <t>㈜씨앤에이원</t>
    <phoneticPr fontId="4" type="noConversion"/>
  </si>
  <si>
    <t>정률법 (2년상각)</t>
    <phoneticPr fontId="4" type="noConversion"/>
  </si>
  <si>
    <t>효성티앤씨(주)</t>
    <phoneticPr fontId="4" type="noConversion"/>
  </si>
  <si>
    <t>RFID UHF 세탁용태그 : 70 x 15 [mm]</t>
    <phoneticPr fontId="4" type="noConversion"/>
  </si>
  <si>
    <t>범아인쇄</t>
    <phoneticPr fontId="4" type="noConversion"/>
  </si>
  <si>
    <t>리젠75 가운 종이택 제작비</t>
  </si>
  <si>
    <t>흥일라벨</t>
    <phoneticPr fontId="4" type="noConversion"/>
  </si>
  <si>
    <t>가운 라벨(케어라벨/제조국라벨)</t>
    <phoneticPr fontId="4" type="noConversion"/>
  </si>
  <si>
    <t>주식회사 라파</t>
    <phoneticPr fontId="4" type="noConversion"/>
  </si>
  <si>
    <t xml:space="preserve">스팀멸균파우치(e.o gas bag) </t>
    <phoneticPr fontId="4" type="noConversion"/>
  </si>
  <si>
    <t>㈜세종헬스케어</t>
    <phoneticPr fontId="4" type="noConversion"/>
  </si>
  <si>
    <t>스테리케어 비멸균 핸드타월</t>
    <phoneticPr fontId="4" type="noConversion"/>
  </si>
  <si>
    <t>경량햄퍼백(오렌지/네이비),방수베개커버 작업</t>
    <phoneticPr fontId="4" type="noConversion"/>
  </si>
  <si>
    <t>방수베개커버 코팅작업</t>
    <phoneticPr fontId="4" type="noConversion"/>
  </si>
  <si>
    <t>★상세 내역은 "숨기기" 처리 되어 있으니, "숨기기 취소"하여 열람 바랍니다.</t>
    <phoneticPr fontId="4" type="noConversion"/>
  </si>
  <si>
    <t>◎ 스테리케어 매출액 대비 주요 비율 산정표</t>
  </si>
  <si>
    <t>보고일 : 2025-08-13</t>
    <phoneticPr fontId="4" type="noConversion"/>
  </si>
  <si>
    <t>12월</t>
  </si>
  <si>
    <t>직접 노무비 (1)</t>
    <phoneticPr fontId="4" type="noConversion"/>
  </si>
  <si>
    <t>총 노무비 합계 (1)+(2)</t>
    <phoneticPr fontId="4" type="noConversion"/>
  </si>
  <si>
    <t>연장수당</t>
    <phoneticPr fontId="4" type="noConversion"/>
  </si>
  <si>
    <r>
      <t>연장수당+야간수당+</t>
    </r>
    <r>
      <rPr>
        <u/>
        <sz val="10"/>
        <color rgb="FF0000FF"/>
        <rFont val="맑은 고딕"/>
        <family val="3"/>
        <charset val="129"/>
        <scheme val="minor"/>
      </rPr>
      <t>박우생 기타수당 100만원포함</t>
    </r>
    <phoneticPr fontId="4" type="noConversion"/>
  </si>
  <si>
    <t>전기요금(한국전력공사)</t>
    <phoneticPr fontId="4" type="noConversion"/>
  </si>
  <si>
    <t>청구요금-부가세대급금 (전력기금 포함)</t>
    <phoneticPr fontId="4" type="noConversion"/>
  </si>
  <si>
    <t>가스요금(해동에너지)</t>
    <phoneticPr fontId="4" type="noConversion"/>
  </si>
  <si>
    <t>해동에너지</t>
  </si>
  <si>
    <r>
      <rPr>
        <b/>
        <sz val="14"/>
        <color theme="1"/>
        <rFont val="맑은 고딕"/>
        <family val="3"/>
        <charset val="129"/>
      </rPr>
      <t>▣</t>
    </r>
    <r>
      <rPr>
        <b/>
        <sz val="14"/>
        <color theme="1"/>
        <rFont val="맑은 고딕"/>
        <family val="3"/>
        <charset val="129"/>
        <scheme val="minor"/>
      </rPr>
      <t>스테리케어 선급금 월별 내역(중복제외)</t>
    </r>
    <phoneticPr fontId="4" type="noConversion"/>
  </si>
  <si>
    <t>월 구분</t>
    <phoneticPr fontId="4" type="noConversion"/>
  </si>
  <si>
    <t>계정과목 구분</t>
    <phoneticPr fontId="4" type="noConversion"/>
  </si>
  <si>
    <t>계정별 금액</t>
    <phoneticPr fontId="4" type="noConversion"/>
  </si>
  <si>
    <t>일자</t>
  </si>
  <si>
    <t>상품명</t>
  </si>
  <si>
    <t>업체명</t>
  </si>
  <si>
    <t>요청금액</t>
  </si>
  <si>
    <t>요청자</t>
  </si>
  <si>
    <t>비고</t>
  </si>
  <si>
    <t>쿠팡</t>
  </si>
  <si>
    <t>네이버</t>
  </si>
  <si>
    <t>5월</t>
    <phoneticPr fontId="4" type="noConversion"/>
  </si>
  <si>
    <t>6월</t>
    <phoneticPr fontId="4" type="noConversion"/>
  </si>
  <si>
    <t>옥션</t>
  </si>
  <si>
    <t>7월</t>
    <phoneticPr fontId="4" type="noConversion"/>
  </si>
  <si>
    <t>8월</t>
    <phoneticPr fontId="4" type="noConversion"/>
  </si>
  <si>
    <t>9월</t>
    <phoneticPr fontId="4" type="noConversion"/>
  </si>
  <si>
    <t>10월</t>
    <phoneticPr fontId="4" type="noConversion"/>
  </si>
  <si>
    <t>11월</t>
    <phoneticPr fontId="4" type="noConversion"/>
  </si>
  <si>
    <t>3월</t>
  </si>
  <si>
    <t>김포공장 임대료</t>
  </si>
  <si>
    <t>대성프라스틱(지광선)</t>
  </si>
  <si>
    <t>수도광열비</t>
    <phoneticPr fontId="4" type="noConversion"/>
  </si>
  <si>
    <t>최수진</t>
  </si>
  <si>
    <t>중복제외</t>
  </si>
  <si>
    <t>(주)원진운송</t>
  </si>
  <si>
    <t>환불제외</t>
    <phoneticPr fontId="4" type="noConversion"/>
  </si>
  <si>
    <t>제이와이컴퍼니(주)</t>
  </si>
  <si>
    <t>월별 가운원가</t>
    <phoneticPr fontId="60" type="noConversion"/>
  </si>
  <si>
    <t>----&gt; 부가세별도금액</t>
    <phoneticPr fontId="4" type="noConversion"/>
  </si>
  <si>
    <t>병원</t>
    <phoneticPr fontId="60" type="noConversion"/>
  </si>
  <si>
    <t>멸균유무</t>
    <phoneticPr fontId="60" type="noConversion"/>
  </si>
  <si>
    <t>가운별</t>
    <phoneticPr fontId="60" type="noConversion"/>
  </si>
  <si>
    <t>회당원가</t>
    <phoneticPr fontId="60" type="noConversion"/>
  </si>
  <si>
    <t>1월</t>
    <phoneticPr fontId="60" type="noConversion"/>
  </si>
  <si>
    <t>2월</t>
  </si>
  <si>
    <t>4월</t>
  </si>
  <si>
    <t>가운별 합계</t>
    <phoneticPr fontId="60" type="noConversion"/>
  </si>
  <si>
    <t>부천</t>
    <phoneticPr fontId="60" type="noConversion"/>
  </si>
  <si>
    <t>비멸균</t>
    <phoneticPr fontId="60" type="noConversion"/>
  </si>
  <si>
    <t>경량OB</t>
    <phoneticPr fontId="60" type="noConversion"/>
  </si>
  <si>
    <t>노랑</t>
    <phoneticPr fontId="60" type="noConversion"/>
  </si>
  <si>
    <t>비멸균합계</t>
    <phoneticPr fontId="60" type="noConversion"/>
  </si>
  <si>
    <t>멸균</t>
    <phoneticPr fontId="60" type="noConversion"/>
  </si>
  <si>
    <t>보라</t>
    <phoneticPr fontId="60" type="noConversion"/>
  </si>
  <si>
    <t>파랑</t>
    <phoneticPr fontId="60" type="noConversion"/>
  </si>
  <si>
    <t>P-COVER</t>
    <phoneticPr fontId="4" type="noConversion"/>
  </si>
  <si>
    <t>멸균합계</t>
    <phoneticPr fontId="60" type="noConversion"/>
  </si>
  <si>
    <t>부천 합계</t>
    <phoneticPr fontId="60" type="noConversion"/>
  </si>
  <si>
    <t>인천</t>
    <phoneticPr fontId="60" type="noConversion"/>
  </si>
  <si>
    <t>인천 합계</t>
    <phoneticPr fontId="60" type="noConversion"/>
  </si>
  <si>
    <t>총합계</t>
    <phoneticPr fontId="60" type="noConversion"/>
  </si>
  <si>
    <t>순번</t>
  </si>
  <si>
    <t>매입처명</t>
  </si>
  <si>
    <t>제품코드</t>
  </si>
  <si>
    <t>출력명</t>
  </si>
  <si>
    <t>규격</t>
  </si>
  <si>
    <t>2024년 01월</t>
  </si>
  <si>
    <t>2024년 02월</t>
  </si>
  <si>
    <t>2024년 03월</t>
  </si>
  <si>
    <t>2024년 04월</t>
  </si>
  <si>
    <t>2024년 05월</t>
  </si>
  <si>
    <t>2024년 06월</t>
  </si>
  <si>
    <t>2024년 07월</t>
  </si>
  <si>
    <t>2024년 08월</t>
  </si>
  <si>
    <t>2024년 09월</t>
  </si>
  <si>
    <t>2024년 10월</t>
  </si>
  <si>
    <t>2024년 11월</t>
  </si>
  <si>
    <t>2024년 12월</t>
  </si>
  <si>
    <t>합 계</t>
  </si>
  <si>
    <t>2025년 1월</t>
  </si>
  <si>
    <t>2025년 2월</t>
  </si>
  <si>
    <t>2025년 3월</t>
  </si>
  <si>
    <t>2025년 4월</t>
  </si>
  <si>
    <t>2025년 5월</t>
  </si>
  <si>
    <t>2025년 6월</t>
  </si>
  <si>
    <t>2025년 7월</t>
  </si>
  <si>
    <t>2025년 8월</t>
  </si>
  <si>
    <t>2025년 9월</t>
  </si>
  <si>
    <t>2025년 10월</t>
  </si>
  <si>
    <t>2025년 11월</t>
  </si>
  <si>
    <t>2025년 12월</t>
  </si>
  <si>
    <t>수량</t>
  </si>
  <si>
    <t>부천세종병원</t>
  </si>
  <si>
    <t>40621</t>
  </si>
  <si>
    <t>렌탈멸균가운(파랑)</t>
  </si>
  <si>
    <t>M</t>
  </si>
  <si>
    <t>40622</t>
  </si>
  <si>
    <t>XL</t>
  </si>
  <si>
    <t>40623</t>
  </si>
  <si>
    <t>렌탈멸균가운(보라)</t>
  </si>
  <si>
    <t>40624</t>
  </si>
  <si>
    <t>41629</t>
  </si>
  <si>
    <t xml:space="preserve">렌탈비멸균가운(노랑) </t>
  </si>
  <si>
    <t>40625</t>
  </si>
  <si>
    <t>렌탈비멸균가운(노랑)</t>
  </si>
  <si>
    <t>L</t>
  </si>
  <si>
    <t>42786</t>
  </si>
  <si>
    <t>경량 Isolation Gown</t>
  </si>
  <si>
    <t>Open Back</t>
  </si>
  <si>
    <t>렌탈 멸균 Protect Cover(C30)</t>
  </si>
  <si>
    <t>30*30</t>
  </si>
  <si>
    <t>렌탈 멸균 Protect Cover(C50)</t>
  </si>
  <si>
    <t>50*50</t>
  </si>
  <si>
    <t>인천세종병원</t>
  </si>
  <si>
    <t>경량 Isolation Gown</t>
    <phoneticPr fontId="4" type="noConversion"/>
  </si>
  <si>
    <t>L2</t>
    <phoneticPr fontId="60" type="noConversion"/>
  </si>
  <si>
    <t>L3</t>
    <phoneticPr fontId="60" type="noConversion"/>
  </si>
  <si>
    <t>계</t>
    <phoneticPr fontId="60" type="noConversion"/>
  </si>
  <si>
    <t>부천멸균</t>
    <phoneticPr fontId="60" type="noConversion"/>
  </si>
  <si>
    <t>타월</t>
    <phoneticPr fontId="60" type="noConversion"/>
  </si>
  <si>
    <t>인천멸균</t>
    <phoneticPr fontId="60" type="noConversion"/>
  </si>
  <si>
    <t>파우치</t>
    <phoneticPr fontId="60" type="noConversion"/>
  </si>
  <si>
    <t>INDICATOR</t>
    <phoneticPr fontId="60" type="noConversion"/>
  </si>
  <si>
    <t>S.LABEL</t>
    <phoneticPr fontId="60" type="noConversion"/>
  </si>
  <si>
    <t>◎ 스테리케어 월 감가상각비 요약</t>
    <phoneticPr fontId="67" type="noConversion"/>
  </si>
  <si>
    <t>25/12/31 기준</t>
    <phoneticPr fontId="70" type="noConversion"/>
  </si>
  <si>
    <t>과목</t>
  </si>
  <si>
    <t>기초가액</t>
  </si>
  <si>
    <t>당기상각비</t>
  </si>
  <si>
    <t>당기말상각누계액</t>
  </si>
  <si>
    <t>미상각잔액</t>
  </si>
  <si>
    <t>월 상각비</t>
    <phoneticPr fontId="73" type="noConversion"/>
  </si>
  <si>
    <t>24년도 기준 상각비</t>
    <phoneticPr fontId="67" type="noConversion"/>
  </si>
  <si>
    <t>합   계</t>
  </si>
  <si>
    <t>개발비</t>
    <phoneticPr fontId="73" type="noConversion"/>
  </si>
  <si>
    <t>월 감가상각비 반영</t>
    <phoneticPr fontId="4" type="noConversion"/>
  </si>
  <si>
    <t>2026년 (귀속월 기준)</t>
    <phoneticPr fontId="4" type="noConversion"/>
  </si>
  <si>
    <t>1월              비율계상                (%)</t>
    <phoneticPr fontId="4" type="noConversion"/>
  </si>
  <si>
    <t>4분기 합계</t>
  </si>
  <si>
    <t>3분기 합계</t>
  </si>
  <si>
    <t>2분기 합계</t>
  </si>
  <si>
    <t>2026년 합계</t>
  </si>
  <si>
    <t>2026년 합계</t>
    <phoneticPr fontId="4" type="noConversion"/>
  </si>
  <si>
    <t>2026년 1월</t>
    <phoneticPr fontId="4" type="noConversion"/>
  </si>
  <si>
    <t>2026년 2월</t>
  </si>
  <si>
    <t>2026년 3월</t>
  </si>
  <si>
    <t>2026년 4월</t>
  </si>
  <si>
    <t>2026년 5월</t>
  </si>
  <si>
    <t>2026년 6월</t>
  </si>
  <si>
    <t>2026년 7월</t>
  </si>
  <si>
    <t>2026년 8월</t>
  </si>
  <si>
    <t>2026년 9월</t>
  </si>
  <si>
    <t>2026년 10월</t>
  </si>
  <si>
    <t>2026년 11월</t>
  </si>
  <si>
    <t>2026년 12월</t>
  </si>
  <si>
    <t>파주병원</t>
    <phoneticPr fontId="4" type="noConversion"/>
  </si>
  <si>
    <t>파주병원 매출 합계</t>
    <phoneticPr fontId="4" type="noConversion"/>
  </si>
  <si>
    <t>뉴고려병원</t>
    <phoneticPr fontId="4" type="noConversion"/>
  </si>
  <si>
    <t>뉴고려병원 매출 합계</t>
    <phoneticPr fontId="4" type="noConversion"/>
  </si>
  <si>
    <t>일산중심재활병원</t>
    <phoneticPr fontId="4" type="noConversion"/>
  </si>
  <si>
    <t>일산중심재활병원 매출 합계</t>
    <phoneticPr fontId="4" type="noConversion"/>
  </si>
  <si>
    <t>일반세탁물</t>
  </si>
  <si>
    <t>안춘일_AN CHUNRI</t>
  </si>
  <si>
    <t>칸 미카일_KHAN MIKHAIL</t>
  </si>
  <si>
    <t>2026.01.26 입사 (세탁건조)</t>
    <phoneticPr fontId="4" type="noConversion"/>
  </si>
  <si>
    <t>KOTITI시험연구원</t>
    <phoneticPr fontId="4" type="noConversion"/>
  </si>
  <si>
    <r>
      <t>1년이상 재직자 퇴직금 추계액</t>
    </r>
    <r>
      <rPr>
        <sz val="10"/>
        <color rgb="FFFF0000"/>
        <rFont val="맑은 고딕"/>
        <family val="3"/>
        <charset val="129"/>
        <scheme val="minor"/>
      </rPr>
      <t xml:space="preserve"> (25/12/31기준)</t>
    </r>
    <phoneticPr fontId="4" type="noConversion"/>
  </si>
  <si>
    <t>잡급</t>
  </si>
  <si>
    <t>일용직 신고</t>
    <phoneticPr fontId="4" type="noConversion"/>
  </si>
  <si>
    <t>2월              비율계상                (%)</t>
    <phoneticPr fontId="4" type="noConversion"/>
  </si>
  <si>
    <t>3월              비율계상                (%)</t>
    <phoneticPr fontId="4" type="noConversion"/>
  </si>
  <si>
    <t>2026.02.20 입사 (세탁건조)</t>
    <phoneticPr fontId="4" type="noConversion"/>
  </si>
  <si>
    <t>압둘라 포함 미신고</t>
    <phoneticPr fontId="4" type="noConversion"/>
  </si>
  <si>
    <t>지급수수료 처리분</t>
    <phoneticPr fontId="4" type="noConversion"/>
  </si>
  <si>
    <t>일용직 미신고</t>
    <phoneticPr fontId="4" type="noConversion"/>
  </si>
  <si>
    <t>외주용역비 합계</t>
    <phoneticPr fontId="4" type="noConversion"/>
  </si>
  <si>
    <t>퇴직연금예치금 합계</t>
    <phoneticPr fontId="4" type="noConversion"/>
  </si>
  <si>
    <t>잡급 합계</t>
    <phoneticPr fontId="4" type="noConversion"/>
  </si>
  <si>
    <t>복리후생비 합계</t>
    <phoneticPr fontId="4" type="noConversion"/>
  </si>
  <si>
    <t>통신비 합계</t>
    <phoneticPr fontId="4" type="noConversion"/>
  </si>
  <si>
    <t>전력비 합계</t>
    <phoneticPr fontId="4" type="noConversion"/>
  </si>
  <si>
    <t>수도광열비 합계</t>
    <phoneticPr fontId="4" type="noConversion"/>
  </si>
  <si>
    <t>보험료 합계</t>
    <phoneticPr fontId="4" type="noConversion"/>
  </si>
  <si>
    <t>수선비 합계</t>
    <phoneticPr fontId="4" type="noConversion"/>
  </si>
  <si>
    <t>세금과공과 합계</t>
    <phoneticPr fontId="4" type="noConversion"/>
  </si>
  <si>
    <t>지급임차료 합계</t>
    <phoneticPr fontId="4" type="noConversion"/>
  </si>
  <si>
    <t>지급수수료 합계</t>
    <phoneticPr fontId="4" type="noConversion"/>
  </si>
  <si>
    <t>차량유지비 합계</t>
    <phoneticPr fontId="4" type="noConversion"/>
  </si>
  <si>
    <t>광고선전비 합계</t>
    <phoneticPr fontId="4" type="noConversion"/>
  </si>
  <si>
    <t>견본비 합계</t>
    <phoneticPr fontId="4" type="noConversion"/>
  </si>
  <si>
    <t>급여 중 지급수수료 처리분</t>
    <phoneticPr fontId="4" type="noConversion"/>
  </si>
  <si>
    <t>권혁</t>
    <phoneticPr fontId="4" type="noConversion"/>
  </si>
  <si>
    <t>미지급비용 합계</t>
    <phoneticPr fontId="4" type="noConversion"/>
  </si>
  <si>
    <t>소모품비 합계</t>
    <phoneticPr fontId="4" type="noConversion"/>
  </si>
  <si>
    <t>잡비 합계</t>
    <phoneticPr fontId="4" type="noConversion"/>
  </si>
  <si>
    <t>포마트코퍼레이션</t>
    <phoneticPr fontId="4" type="noConversion"/>
  </si>
  <si>
    <t>가운 및 그 외 제품 가공비</t>
    <phoneticPr fontId="4" type="noConversion"/>
  </si>
  <si>
    <t>매출-노무비</t>
    <phoneticPr fontId="4" type="noConversion"/>
  </si>
  <si>
    <t>매출-노무비+경비</t>
    <phoneticPr fontId="4" type="noConversion"/>
  </si>
  <si>
    <t>시설장치</t>
    <phoneticPr fontId="4" type="noConversion"/>
  </si>
  <si>
    <t>CCTV 설치비용</t>
  </si>
  <si>
    <t>다봄씨엔에스</t>
  </si>
  <si>
    <t>말일 자금집행 누락분(계정분류 오류)</t>
  </si>
  <si>
    <t>차량지입료(12월분) 지급</t>
  </si>
  <si>
    <t>허균 추가 계약건 차량지입료(12월분) 지급</t>
  </si>
  <si>
    <t>상통물류</t>
  </si>
  <si>
    <t>선경종합운수 &gt; 상통물류로 12월부터 업체변경</t>
  </si>
  <si>
    <t>김포 원룸 월세(전계룡 이사님)</t>
  </si>
  <si>
    <t>비품</t>
    <phoneticPr fontId="4" type="noConversion"/>
  </si>
  <si>
    <t>롤테이너카트 바퀴</t>
  </si>
  <si>
    <t>지출결의서 작성분</t>
  </si>
  <si>
    <t>펜크리어4L</t>
  </si>
  <si>
    <t>오성크린몰</t>
  </si>
  <si>
    <t>스파팅 사용약품</t>
  </si>
  <si>
    <t>다목적세정제20L</t>
  </si>
  <si>
    <t>스파팅 사용 약품</t>
  </si>
  <si>
    <t>분무기1L 4개</t>
  </si>
  <si>
    <t>스파팅시 사용</t>
  </si>
  <si>
    <t>소금 15포대</t>
  </si>
  <si>
    <t>프로그립1000 장갑, 30개</t>
  </si>
  <si>
    <t>옷걸이2000개</t>
  </si>
  <si>
    <t>01월11일 가스 주입</t>
  </si>
  <si>
    <t>01월25일 가스 주입</t>
  </si>
  <si>
    <t>02월01일 가스 주입</t>
  </si>
  <si>
    <t>02월08일 가스 주입</t>
  </si>
  <si>
    <t>02월15일 가스 주입</t>
  </si>
  <si>
    <t>차량지입료(1월분) 지급</t>
  </si>
  <si>
    <t>차량지입료(1월분) 지급-허균</t>
  </si>
  <si>
    <t>상통물류(이상천)</t>
  </si>
  <si>
    <t>차량지입료(1월분) 지급-파주</t>
  </si>
  <si>
    <t>월 250만원(vat미포함) + 12/29~12/31(3일) 운행분 25만원 추가</t>
  </si>
  <si>
    <t>단프라시트 90장(900X1800)</t>
  </si>
  <si>
    <t>전액 네이버로 환불예정</t>
  </si>
  <si>
    <t>단프라시트 90장(1200X2400)</t>
  </si>
  <si>
    <t>(주)보양스토리</t>
  </si>
  <si>
    <t>사이즈변경요청으로 재구매/화물퀵비 99,000원 포함</t>
  </si>
  <si>
    <t>스파팅 사용 약품/소모품 네이버페이 포인트로 구매</t>
  </si>
  <si>
    <t>종이컵 2000개</t>
  </si>
  <si>
    <t>코멕스고무장갑(L) 20개</t>
  </si>
  <si>
    <t>스파팅 및 다용도 사용</t>
  </si>
  <si>
    <t>급여</t>
    <phoneticPr fontId="4" type="noConversion"/>
  </si>
  <si>
    <t>직원 급여 가불 지급</t>
  </si>
  <si>
    <t>바크누어(SALYKBAYEV BAKNUR)</t>
  </si>
  <si>
    <t>가불신청서 작성완료(선지급 후 결재)</t>
  </si>
  <si>
    <t>구인광고 게시 수수료</t>
  </si>
  <si>
    <t>당근페이 충전(전계룡)</t>
  </si>
  <si>
    <t>운반비</t>
    <phoneticPr fontId="4" type="noConversion"/>
  </si>
  <si>
    <t>단프라시트(900X1800) 반품 왕복배송비</t>
  </si>
  <si>
    <t>명진산업자재(허승)</t>
  </si>
  <si>
    <t>롤테이너 벽면보호용 바퀴</t>
  </si>
  <si>
    <t>(주)한세교역</t>
  </si>
  <si>
    <t>세탁기대금 보류, 바퀴구매분만 결제</t>
  </si>
  <si>
    <t>롤테이너카트 30개+바퀴교체</t>
  </si>
  <si>
    <t>전일 직배송비 44,000원 포함/납품 완료후 결제</t>
  </si>
  <si>
    <t>토세이 소형세탁기 및 설치공사비</t>
  </si>
  <si>
    <t>범호개발 외</t>
    <phoneticPr fontId="4" type="noConversion"/>
  </si>
  <si>
    <t>노무비 중 외주용역비 합</t>
    <phoneticPr fontId="4" type="noConversion"/>
  </si>
  <si>
    <t>1) 복리후생비</t>
    <phoneticPr fontId="4" type="noConversion"/>
  </si>
  <si>
    <t>2) 여비교통비</t>
    <phoneticPr fontId="4" type="noConversion"/>
  </si>
  <si>
    <t>3) 소모품비</t>
    <phoneticPr fontId="4" type="noConversion"/>
  </si>
  <si>
    <t>4) 차량유지비</t>
    <phoneticPr fontId="4" type="noConversion"/>
  </si>
  <si>
    <t>5) 지급수수료</t>
    <phoneticPr fontId="4" type="noConversion"/>
  </si>
  <si>
    <t>6) 통신비</t>
    <phoneticPr fontId="4" type="noConversion"/>
  </si>
  <si>
    <t>7) 접대비</t>
    <phoneticPr fontId="4" type="noConversion"/>
  </si>
  <si>
    <t>차량지입료-파주</t>
    <phoneticPr fontId="4" type="noConversion"/>
  </si>
  <si>
    <t>한세교역</t>
    <phoneticPr fontId="4" type="noConversion"/>
  </si>
  <si>
    <t>건조기 감속샤프트 가공 및 베어링 교체</t>
    <phoneticPr fontId="4" type="noConversion"/>
  </si>
  <si>
    <t>아이로너 수리비</t>
    <phoneticPr fontId="4" type="noConversion"/>
  </si>
  <si>
    <t>(주)보양스토리</t>
    <phoneticPr fontId="4" type="noConversion"/>
  </si>
  <si>
    <t>플라베니아 5T (뉴고려병원 카트커버 제작용)</t>
    <phoneticPr fontId="4" type="noConversion"/>
  </si>
  <si>
    <t>폐수처리장 월 관리비</t>
    <phoneticPr fontId="4" type="noConversion"/>
  </si>
  <si>
    <t>매출-(노무비+경비+판관비)</t>
    <phoneticPr fontId="4" type="noConversion"/>
  </si>
  <si>
    <t>25년 기준</t>
    <phoneticPr fontId="4" type="noConversion"/>
  </si>
  <si>
    <t>건강(요양)보험 (회사부담금)</t>
    <phoneticPr fontId="4" type="noConversion"/>
  </si>
  <si>
    <t>기계장치</t>
    <phoneticPr fontId="4" type="noConversion"/>
  </si>
  <si>
    <t>일본 토세이 미니 세탁기</t>
    <phoneticPr fontId="4" type="noConversion"/>
  </si>
  <si>
    <t>가운부자재</t>
    <phoneticPr fontId="4" type="noConversion"/>
  </si>
  <si>
    <t>영업이익(감가상각비 미포함)</t>
    <phoneticPr fontId="4" type="noConversion"/>
  </si>
  <si>
    <t>전체 총 경비-감가상각비</t>
    <phoneticPr fontId="4" type="noConversion"/>
  </si>
  <si>
    <t>월별 손익 판관비 금액(본사)</t>
    <phoneticPr fontId="4" type="noConversion"/>
  </si>
  <si>
    <t>판관비-감가상각비</t>
    <phoneticPr fontId="4" type="noConversion"/>
  </si>
  <si>
    <t>지급수수료 처리</t>
    <phoneticPr fontId="4" type="noConversion"/>
  </si>
  <si>
    <t>노무비 총 합계액 ((직원급여 + 그외) + 퇴직금)</t>
    <phoneticPr fontId="4" type="noConversion"/>
  </si>
  <si>
    <r>
      <t xml:space="preserve">노무비 총 합계액 ((직원급여 + 그외) + 퇴직금 - 외주용역비) = </t>
    </r>
    <r>
      <rPr>
        <b/>
        <sz val="10"/>
        <color rgb="FFFF0000"/>
        <rFont val="맑은 고딕"/>
        <family val="3"/>
        <charset val="129"/>
        <scheme val="minor"/>
      </rPr>
      <t>회계처리상 합계</t>
    </r>
    <phoneticPr fontId="4" type="noConversion"/>
  </si>
  <si>
    <t>감가상각비 제외분</t>
    <phoneticPr fontId="4" type="noConversion"/>
  </si>
  <si>
    <r>
      <t xml:space="preserve">직원급여 (미신고 </t>
    </r>
    <r>
      <rPr>
        <b/>
        <sz val="10"/>
        <color rgb="FF0000FF"/>
        <rFont val="맑은 고딕"/>
        <family val="3"/>
        <charset val="129"/>
        <scheme val="minor"/>
      </rPr>
      <t>포함</t>
    </r>
    <r>
      <rPr>
        <b/>
        <sz val="10"/>
        <color theme="1"/>
        <rFont val="맑은 고딕"/>
        <family val="3"/>
        <charset val="129"/>
        <scheme val="minor"/>
      </rPr>
      <t xml:space="preserve"> 총 급여) = </t>
    </r>
    <r>
      <rPr>
        <b/>
        <sz val="10"/>
        <color rgb="FF0000FF"/>
        <rFont val="맑은 고딕"/>
        <family val="3"/>
        <charset val="129"/>
        <scheme val="minor"/>
      </rPr>
      <t>실제 산정합계</t>
    </r>
    <phoneticPr fontId="4" type="noConversion"/>
  </si>
  <si>
    <r>
      <t xml:space="preserve">직원급여 (미신고 </t>
    </r>
    <r>
      <rPr>
        <b/>
        <sz val="10"/>
        <color rgb="FFFF0000"/>
        <rFont val="맑은 고딕"/>
        <family val="3"/>
        <charset val="129"/>
        <scheme val="minor"/>
      </rPr>
      <t>제외</t>
    </r>
    <r>
      <rPr>
        <b/>
        <sz val="10"/>
        <color theme="1"/>
        <rFont val="맑은 고딕"/>
        <family val="3"/>
        <charset val="129"/>
        <scheme val="minor"/>
      </rPr>
      <t xml:space="preserve"> 총 급여) = </t>
    </r>
    <r>
      <rPr>
        <b/>
        <sz val="10"/>
        <color rgb="FFFF0000"/>
        <rFont val="맑은 고딕"/>
        <family val="3"/>
        <charset val="129"/>
        <scheme val="minor"/>
      </rPr>
      <t>회계처리상 합계</t>
    </r>
    <phoneticPr fontId="4" type="noConversion"/>
  </si>
  <si>
    <r>
      <t xml:space="preserve">노무비 합계액 (직원급여+ 그외) = </t>
    </r>
    <r>
      <rPr>
        <b/>
        <sz val="10"/>
        <color rgb="FFFF0000"/>
        <rFont val="맑은 고딕"/>
        <family val="3"/>
        <charset val="129"/>
        <scheme val="minor"/>
      </rPr>
      <t>회계처리상 합계</t>
    </r>
    <phoneticPr fontId="4" type="noConversion"/>
  </si>
  <si>
    <t>8) 운반비</t>
    <phoneticPr fontId="4" type="noConversion"/>
  </si>
  <si>
    <t>플러스건설인력사무소</t>
    <phoneticPr fontId="4" type="noConversion"/>
  </si>
  <si>
    <t>외국인 노동자 (정기파견/비정기)_일 11만원(VAT별도)</t>
    <phoneticPr fontId="4" type="noConversion"/>
  </si>
  <si>
    <t>원티미안</t>
    <phoneticPr fontId="4" type="noConversion"/>
  </si>
  <si>
    <t>2026.03.04 입사 (정리포장)</t>
    <phoneticPr fontId="4" type="noConversion"/>
  </si>
  <si>
    <t>차량지입료(2월분) 지급</t>
  </si>
  <si>
    <t>차량지입료(2월분) 지급-허균</t>
  </si>
  <si>
    <t>차량지입료(2월분) 지급-파주</t>
  </si>
  <si>
    <t>03월06일 가스 주입</t>
  </si>
  <si>
    <t>03월15일 가스 주입</t>
  </si>
  <si>
    <t>03월25일 가스 주입</t>
  </si>
  <si>
    <t>파손가운 수선비(274건)</t>
  </si>
  <si>
    <t>서현녀(스타일리스트)</t>
  </si>
  <si>
    <t>지출결의서 작성</t>
  </si>
  <si>
    <t>작은 종이컵 2000개</t>
  </si>
  <si>
    <t>맥심모카골드(400T) 2박스</t>
  </si>
  <si>
    <t>지마켓</t>
  </si>
  <si>
    <t>아이디별 구매수량제한으로 분리구매</t>
  </si>
  <si>
    <t>맥심화이트골드(160T)</t>
  </si>
  <si>
    <t>유한락스 15L, 2개</t>
  </si>
  <si>
    <t>S고리</t>
  </si>
  <si>
    <t>2026 KHF 계약금 50%</t>
  </si>
  <si>
    <t>메쎄이상</t>
  </si>
  <si>
    <t>추후 반영</t>
    <phoneticPr fontId="4" type="noConversion"/>
  </si>
  <si>
    <t>세금계산서 발행분으로</t>
    <phoneticPr fontId="4" type="noConversion"/>
  </si>
  <si>
    <t>차량지입료-허균 &gt; 3월부터 뉴고려+일산중심으로 변경</t>
    <phoneticPr fontId="4" type="noConversion"/>
  </si>
  <si>
    <t>디에스이엔지(DS ENG)</t>
  </si>
  <si>
    <t>보일러 화학세관 공사</t>
    <phoneticPr fontId="4" type="noConversion"/>
  </si>
  <si>
    <t>보일러 출장수리비</t>
    <phoneticPr fontId="4" type="noConversion"/>
  </si>
  <si>
    <t>청관제 납품</t>
    <phoneticPr fontId="4" type="noConversion"/>
  </si>
  <si>
    <t>뉴고려병원 카트 커버</t>
    <phoneticPr fontId="4" type="noConversion"/>
  </si>
  <si>
    <t>(주)에버델씨앤비</t>
    <phoneticPr fontId="4" type="noConversion"/>
  </si>
  <si>
    <t>점보롤/핸드타올</t>
    <phoneticPr fontId="4" type="noConversion"/>
  </si>
  <si>
    <t>아산카_NUWARAPAKSHA GED-ARA ASANK</t>
    <phoneticPr fontId="4" type="noConversion"/>
  </si>
  <si>
    <t>2026.01.26 입사 (세탁건조)</t>
  </si>
  <si>
    <t>원단-정률법 (2년상각)</t>
  </si>
  <si>
    <t>원단-정률법 (2년상각)</t>
    <phoneticPr fontId="4" type="noConversion"/>
  </si>
  <si>
    <t>스타일리스트(서현녀)</t>
    <phoneticPr fontId="4" type="noConversion"/>
  </si>
  <si>
    <t>가운 수선비(건당 1,500원)</t>
    <phoneticPr fontId="4" type="noConversion"/>
  </si>
  <si>
    <t>차량지입료-허균&gt;&gt;3월부터 뉴고려+일산중심으로 변경</t>
    <phoneticPr fontId="4" type="noConversion"/>
  </si>
  <si>
    <t>지급임차료(차량지입) 합계</t>
    <phoneticPr fontId="4" type="noConversion"/>
  </si>
  <si>
    <t>지급임차료(임대/렌탈료) 합계</t>
    <phoneticPr fontId="4" type="noConversion"/>
  </si>
  <si>
    <t>임대/렌탈</t>
    <phoneticPr fontId="4" type="noConversion"/>
  </si>
  <si>
    <t>차량지입</t>
    <phoneticPr fontId="4" type="noConversion"/>
  </si>
  <si>
    <t>4대보험 합계</t>
    <phoneticPr fontId="4" type="noConversion"/>
  </si>
  <si>
    <t>세금과공과금</t>
    <phoneticPr fontId="4" type="noConversion"/>
  </si>
  <si>
    <t>노무비</t>
  </si>
  <si>
    <t>김진빈</t>
    <phoneticPr fontId="4" type="noConversion"/>
  </si>
  <si>
    <t>26.04.07 입사 (중간관리자)</t>
    <phoneticPr fontId="4" type="noConversion"/>
  </si>
  <si>
    <t>살균소독스프레이</t>
  </si>
  <si>
    <t>사무실 틈새 책장</t>
  </si>
  <si>
    <t>멸균실 탁상 2개</t>
  </si>
  <si>
    <t>물티슈 1박스</t>
  </si>
  <si>
    <t>아이로너 가이드테이프</t>
  </si>
  <si>
    <t>(주)보우</t>
  </si>
  <si>
    <t>지출결의서 결재완료분</t>
  </si>
  <si>
    <t>뉴고려병원 페인트</t>
  </si>
  <si>
    <t>(주)현대상사</t>
  </si>
  <si>
    <t>정기회의시 보고O</t>
  </si>
  <si>
    <t>차량지입료(3월분) 지급</t>
  </si>
  <si>
    <t>차량지입료(3월분) 지급-파주</t>
  </si>
  <si>
    <t>월 250만원(vat미포함)/종이계산서</t>
  </si>
  <si>
    <t>차량지입료(3월분) 지급-뉴고려+일산중심</t>
  </si>
  <si>
    <t>뉴고려병원: 월 120만원/일산중심병원 : 60만원(VAT미포함)+2/27~2/28 추가 운행분 12만원 포함</t>
  </si>
  <si>
    <t>지하수 수질검사 수수료</t>
  </si>
  <si>
    <t>김포시맑은물사업본부</t>
  </si>
  <si>
    <t>정기 수질검사(4/15 채수완료)</t>
  </si>
  <si>
    <t>04월04일 가스 주입</t>
  </si>
  <si>
    <t>4월12일 가스주입</t>
  </si>
  <si>
    <t>4월23일 가스 충전</t>
  </si>
  <si>
    <t>(주)히트</t>
  </si>
  <si>
    <t>개인배송_전대중</t>
  </si>
  <si>
    <t>틈새책장 착불택배비 개인 사비 선결제(전계룡)</t>
  </si>
  <si>
    <t>오케이물류_전대중</t>
  </si>
  <si>
    <t>틈새책장 착불택배비 개인 사비 선결제(전계룡)/2건 중 1건</t>
  </si>
  <si>
    <t>박우생 팀장 자차(카니발) 보험료(26.04.23~27.04.23)</t>
  </si>
  <si>
    <t>현대해상우태건설</t>
  </si>
  <si>
    <t>권혁 퇴직금 지급(24.06.17~26.04.10)</t>
  </si>
  <si>
    <t>산정액(6,398,694원) - 퇴직소득세(80,910원)</t>
  </si>
  <si>
    <t>파손가운 수선비(105건)</t>
  </si>
  <si>
    <t>건당 1,500원</t>
  </si>
  <si>
    <t>지출결의서O / 소모품 네이버페이 포인트로 구매</t>
    <phoneticPr fontId="4" type="noConversion"/>
  </si>
  <si>
    <t>지출결의서O</t>
    <phoneticPr fontId="4" type="noConversion"/>
  </si>
  <si>
    <t>직원급여 합계</t>
    <phoneticPr fontId="4" type="noConversion"/>
  </si>
  <si>
    <t>쿠마_KATUWAL CHANDRAKUMAR</t>
    <phoneticPr fontId="4" type="noConversion"/>
  </si>
  <si>
    <t>2026.04.15 입사 (세탁건조)</t>
    <phoneticPr fontId="4" type="noConversion"/>
  </si>
  <si>
    <t>지역자원시설세(분기별) / 등록면허세</t>
    <phoneticPr fontId="4" type="noConversion"/>
  </si>
  <si>
    <t>마이티 (26.05.08~27.05.08)</t>
    <phoneticPr fontId="4" type="noConversion"/>
  </si>
  <si>
    <t>9) 교육훈련비</t>
    <phoneticPr fontId="4" type="noConversion"/>
  </si>
  <si>
    <t>(주)보우</t>
    <phoneticPr fontId="4" type="noConversion"/>
  </si>
  <si>
    <t>아이로너 가이드테이프</t>
    <phoneticPr fontId="4" type="noConversion"/>
  </si>
  <si>
    <t>주식회사 현대상사</t>
    <phoneticPr fontId="4" type="noConversion"/>
  </si>
  <si>
    <t>페인트(뉴고려병원 요청)</t>
    <phoneticPr fontId="4" type="noConversion"/>
  </si>
  <si>
    <t>합계</t>
    <phoneticPr fontId="4" type="noConversion"/>
  </si>
  <si>
    <t>리젠75 가운 종이택 제작비</t>
    <phoneticPr fontId="4" type="noConversion"/>
  </si>
  <si>
    <t>섬유자산</t>
  </si>
  <si>
    <t>유형자산</t>
  </si>
  <si>
    <t>임시계정</t>
  </si>
  <si>
    <t>임시계정</t>
    <phoneticPr fontId="4" type="noConversion"/>
  </si>
  <si>
    <t>종이세금계산서 발행(일부)</t>
  </si>
  <si>
    <t>종이세금계산서 발행(일부)</t>
    <phoneticPr fontId="4" type="noConversion"/>
  </si>
  <si>
    <t>지하수 정기수질검사 수수료(2년)</t>
    <phoneticPr fontId="4" type="noConversion"/>
  </si>
  <si>
    <t>전체 총 비용-감가상각비</t>
    <phoneticPr fontId="4" type="noConversion"/>
  </si>
  <si>
    <t>밀드레드_MORES MILDRED</t>
  </si>
  <si>
    <t>박풍화_PIAO FENGHUA</t>
  </si>
  <si>
    <t>2026.05.11 입사 (정리포장)</t>
    <phoneticPr fontId="4" type="noConversion"/>
  </si>
  <si>
    <t>2026.05.18 입사 (정리포장)</t>
    <phoneticPr fontId="4" type="noConversion"/>
  </si>
  <si>
    <t>하킴_KHAN HAKIM</t>
  </si>
  <si>
    <t>2026.06.01 입사 (분류)</t>
    <phoneticPr fontId="4" type="noConversion"/>
  </si>
  <si>
    <t>그 외 카드</t>
    <phoneticPr fontId="4" type="noConversion"/>
  </si>
  <si>
    <t>우리카드(4734) 공용</t>
  </si>
  <si>
    <t>우리카드(4734) 공용</t>
    <phoneticPr fontId="4" type="noConversion"/>
  </si>
  <si>
    <t>스테리케어 외</t>
    <phoneticPr fontId="4" type="noConversion"/>
  </si>
  <si>
    <t>◎ 스테리케어 고정자산 상세(2025.12.31 기준)</t>
    <phoneticPr fontId="67" type="noConversion"/>
  </si>
  <si>
    <t>자산</t>
    <phoneticPr fontId="67" type="noConversion"/>
  </si>
  <si>
    <t>구분</t>
    <phoneticPr fontId="67" type="noConversion"/>
  </si>
  <si>
    <t>연도</t>
    <phoneticPr fontId="67" type="noConversion"/>
  </si>
  <si>
    <t>코드</t>
  </si>
  <si>
    <t>자산</t>
  </si>
  <si>
    <t>취득일</t>
  </si>
  <si>
    <t>당기증감</t>
  </si>
  <si>
    <t>기말잔액</t>
  </si>
  <si>
    <t>전기말상각누계액</t>
  </si>
  <si>
    <t>상각대상금액</t>
  </si>
  <si>
    <t>년수</t>
  </si>
  <si>
    <t>상각률</t>
  </si>
  <si>
    <t>월수</t>
  </si>
  <si>
    <t>특별상각비</t>
  </si>
  <si>
    <t>유          형         자        산</t>
    <phoneticPr fontId="67" type="noConversion"/>
  </si>
  <si>
    <t>기계장치</t>
    <phoneticPr fontId="67" type="noConversion"/>
  </si>
  <si>
    <t>2023년</t>
    <phoneticPr fontId="67" type="noConversion"/>
  </si>
  <si>
    <t>중고 컴프레셔 외</t>
  </si>
  <si>
    <t>2023-05-04</t>
  </si>
  <si>
    <t>롤테이너(대)하단막이 10 X 185,000</t>
  </si>
  <si>
    <t>2023-06-13</t>
  </si>
  <si>
    <t>재단접착기 1 X 3,322,000</t>
  </si>
  <si>
    <t>2023-06-15</t>
  </si>
  <si>
    <t>자동결속기(KM-60) 1 X 4,300,000</t>
  </si>
  <si>
    <t>2023-06-21</t>
  </si>
  <si>
    <t>장비2(산업용세탁장비)</t>
  </si>
  <si>
    <t>2023-06-28</t>
  </si>
  <si>
    <t>장비1(산업용세탁장비)</t>
  </si>
  <si>
    <t>고압증기멸균기</t>
  </si>
  <si>
    <t>2023-06-30</t>
  </si>
  <si>
    <t>급수펌프 납품외</t>
  </si>
  <si>
    <t>2023-08-01</t>
  </si>
  <si>
    <t>2023 합계</t>
    <phoneticPr fontId="67" type="noConversion"/>
  </si>
  <si>
    <t>2024년</t>
    <phoneticPr fontId="67" type="noConversion"/>
  </si>
  <si>
    <t>장비3(산업용세탁장비)</t>
  </si>
  <si>
    <t>2024-03-14</t>
  </si>
  <si>
    <t>자동결속기(KM-60)</t>
  </si>
  <si>
    <t>2024-04-11</t>
  </si>
  <si>
    <t>산업용세탁기 및 건조기</t>
  </si>
  <si>
    <t>2024-04-15</t>
  </si>
  <si>
    <t>재단접착기 1 X 3,018,182</t>
  </si>
  <si>
    <t>2024-06-19</t>
  </si>
  <si>
    <t>0.8톤 중고 가스보일러</t>
  </si>
  <si>
    <t>전자식유량계 1 X 1,818,182</t>
  </si>
  <si>
    <t>2024-06-20</t>
  </si>
  <si>
    <t>2024 합계</t>
    <phoneticPr fontId="67" type="noConversion"/>
  </si>
  <si>
    <t>기계장치 합계</t>
    <phoneticPr fontId="67" type="noConversion"/>
  </si>
  <si>
    <t>차량운반구</t>
    <phoneticPr fontId="67" type="noConversion"/>
  </si>
  <si>
    <t>845부2564</t>
  </si>
  <si>
    <t>2023-05-08</t>
  </si>
  <si>
    <t>차량운반구 합계</t>
    <phoneticPr fontId="67" type="noConversion"/>
  </si>
  <si>
    <t>비품</t>
    <phoneticPr fontId="67" type="noConversion"/>
  </si>
  <si>
    <t>2022년</t>
    <phoneticPr fontId="67" type="noConversion"/>
  </si>
  <si>
    <t>원단검사광원(프로파일 포함)</t>
  </si>
  <si>
    <t>2022-09-29</t>
  </si>
  <si>
    <t>컴퓨터주변기기 외</t>
  </si>
  <si>
    <t>2023-01-31</t>
  </si>
  <si>
    <t>김포공장 외부판넬(300㎡) 유성KS</t>
  </si>
  <si>
    <t>2023-04-14</t>
  </si>
  <si>
    <t>지붕천막/지붕천막보수/문짝/고소작업대 외</t>
  </si>
  <si>
    <t>2023-05-27</t>
  </si>
  <si>
    <t>와이어 선반 제작</t>
  </si>
  <si>
    <t>2023-06-07</t>
  </si>
  <si>
    <t>와이어셀프 망(옆면,뒷면막음)</t>
  </si>
  <si>
    <t>세탁물작업대_시설장치內</t>
  </si>
  <si>
    <t>세탁물 와이어 선반 주문제작</t>
  </si>
  <si>
    <t>2023-07-13</t>
  </si>
  <si>
    <t>와이어셀프구르마</t>
  </si>
  <si>
    <t>2023-11-08</t>
  </si>
  <si>
    <t>와이어셀프</t>
  </si>
  <si>
    <t>2023-11-28</t>
  </si>
  <si>
    <t>2022+2023 합계</t>
    <phoneticPr fontId="67" type="noConversion"/>
  </si>
  <si>
    <t>롤테이너(대) 카트 기본형(접이식) 10ea / 하단막이(고정식) 20ea</t>
  </si>
  <si>
    <t>카트커버 60 X 73,000</t>
  </si>
  <si>
    <t>2024-04-23</t>
  </si>
  <si>
    <t>카트커버 30 X 73,000</t>
  </si>
  <si>
    <t>2024-04-29</t>
  </si>
  <si>
    <t>롤테이너(대) 기본형_카트</t>
  </si>
  <si>
    <t>2024-05-10</t>
  </si>
  <si>
    <t>롤테이너(대) 기본형 30 X 140,000</t>
  </si>
  <si>
    <t>2024-06-25</t>
  </si>
  <si>
    <t>2025년</t>
    <phoneticPr fontId="67" type="noConversion"/>
  </si>
  <si>
    <t>[정부보조금] 이동식에어컨(WPC-6900P) 3대</t>
  </si>
  <si>
    <t>2025-05-30</t>
  </si>
  <si>
    <t>롤테이너(대)하단막이 12 X 175,000</t>
  </si>
  <si>
    <t>2025-12-18</t>
  </si>
  <si>
    <t>2025 합계</t>
    <phoneticPr fontId="67" type="noConversion"/>
  </si>
  <si>
    <t>비품 합계</t>
    <phoneticPr fontId="67" type="noConversion"/>
  </si>
  <si>
    <t>시설장치</t>
    <phoneticPr fontId="67" type="noConversion"/>
  </si>
  <si>
    <t>지하수개발</t>
  </si>
  <si>
    <t>2023-04-24</t>
  </si>
  <si>
    <t>오수처리시설 설치공사</t>
  </si>
  <si>
    <t>2023-05-02</t>
  </si>
  <si>
    <t>아스콘포장</t>
  </si>
  <si>
    <t>2023-05-16</t>
  </si>
  <si>
    <t>분전함 설치 외 간선 전기공사</t>
  </si>
  <si>
    <t>2023-05-31</t>
  </si>
  <si>
    <t>공장 바닥 에폭시라이닝 공사</t>
  </si>
  <si>
    <t>2023-06-08</t>
  </si>
  <si>
    <t>민간건설공사</t>
  </si>
  <si>
    <t>전기공사</t>
  </si>
  <si>
    <t>판넬추가공사</t>
  </si>
  <si>
    <t>배관공사</t>
  </si>
  <si>
    <t>김포 세탁물공장 클린룸공사(잔금)</t>
  </si>
  <si>
    <t>폐수처리시설설치공사비</t>
  </si>
  <si>
    <t>2023-07-04</t>
  </si>
  <si>
    <t>조명테이블 제작 1 X 14,000,000</t>
  </si>
  <si>
    <t>2023-08-03</t>
  </si>
  <si>
    <t>배관보온공사</t>
  </si>
  <si>
    <t>2023-10-30</t>
  </si>
  <si>
    <t>세탁동 뒤편 천막 덧씌우기 작업</t>
  </si>
  <si>
    <t>[스테리케어] 전기설비 공사</t>
  </si>
  <si>
    <t>2025-08-18</t>
  </si>
  <si>
    <t>[스테리케어] CCTV 설치</t>
  </si>
  <si>
    <t>2025-12-19</t>
  </si>
  <si>
    <t>시설장치 합계</t>
    <phoneticPr fontId="67" type="noConversion"/>
  </si>
  <si>
    <t>[소계] 시설장치</t>
  </si>
  <si>
    <t>섬유자산</t>
    <phoneticPr fontId="67" type="noConversion"/>
  </si>
  <si>
    <t>섬유자산_수술용 가운 외(2년감가상각)</t>
  </si>
  <si>
    <t>RG123YPB외(2년감가상각)</t>
  </si>
  <si>
    <t>2023-11-30</t>
  </si>
  <si>
    <t>섬유자산/당기제품제조원가 처리 미계상분</t>
  </si>
  <si>
    <t>2023-12-31</t>
  </si>
  <si>
    <t>랩퍼용 원단1 (2년감가상각)</t>
  </si>
  <si>
    <t>2024-01-31</t>
  </si>
  <si>
    <t>경량가운2종에 대한 원단_포마트 출고 (2년감가상각)</t>
  </si>
  <si>
    <t>2024-04-30</t>
  </si>
  <si>
    <t>랩퍼용 원단2 (2년감가상각)</t>
  </si>
  <si>
    <t>2024-06-28</t>
  </si>
  <si>
    <t>원단1 (2년감가상각)</t>
  </si>
  <si>
    <t>2024-07-31</t>
  </si>
  <si>
    <t>원단2 (2년감가상각)</t>
  </si>
  <si>
    <t>2024-08-31</t>
  </si>
  <si>
    <t>원단3 (2년감가상각)</t>
  </si>
  <si>
    <t>2024-10-31</t>
  </si>
  <si>
    <t>경량햄퍼백원단, 방수베개커버원단, 방수베개커버 코팅비_(주)씨앤에이원</t>
  </si>
  <si>
    <t>2025-02-28</t>
  </si>
  <si>
    <t>▶가운원가 섬유자산 산입</t>
    <phoneticPr fontId="4" type="noConversion"/>
  </si>
  <si>
    <t>LEVEL2 보라가운 원단(SUPRON-HTC,GRCRCP,P,640KRO) 3,827</t>
  </si>
  <si>
    <t>2025-11-14</t>
  </si>
  <si>
    <t>가운백 원단, 랩퍼 원단_사무실 샘플용 원단 제외분</t>
  </si>
  <si>
    <t>2025-11-30</t>
  </si>
  <si>
    <t>[스테리케어] e.o gas bag_주식회사라파</t>
  </si>
  <si>
    <t>[스테리케어] Hand Towel (100ea) 비멸균_(주)세종헬스케어</t>
  </si>
  <si>
    <t>경량햄퍼백,방수베개커버/경량햄퍼(인천세종납품분)작업분_일조완성센타(개인)</t>
  </si>
  <si>
    <t>RFID UHF 세탁용태그 : 70 x 15 [mm]_유비코어</t>
  </si>
  <si>
    <t>가운 케어/제조국라벨(C/L 2도 인쇄)_흥일라벨</t>
  </si>
  <si>
    <t>섬유자산 합계</t>
    <phoneticPr fontId="67" type="noConversion"/>
  </si>
  <si>
    <t>유형자산 합 계</t>
    <phoneticPr fontId="67" type="noConversion"/>
  </si>
  <si>
    <t>무       형       자       산</t>
    <phoneticPr fontId="67" type="noConversion"/>
  </si>
  <si>
    <t>개발비</t>
    <phoneticPr fontId="67" type="noConversion"/>
  </si>
  <si>
    <t>RFID UHF 세탁물 카운팅 시스템</t>
  </si>
  <si>
    <t>RFID세탁물관리시스템 개발비(할부 1/11) 1 X 1,000,000</t>
  </si>
  <si>
    <t>2023-12-27</t>
  </si>
  <si>
    <t>RFID세탁물관리시스템 웹페이지 수정/보완 1 X 1,000,000</t>
  </si>
  <si>
    <t>2024-01-29</t>
  </si>
  <si>
    <t>RFID세탁물관리시스템 개발비(할부 2/11) 1 X 1,000,000</t>
  </si>
  <si>
    <t>RFID세탁물관리시스템 개발비(할부 3/11) 1 X 1,000,000</t>
  </si>
  <si>
    <t>2024-02-26</t>
  </si>
  <si>
    <t>RFID세탁물관리시스템 개발비(할부 4/11) 1 X 1,000,000</t>
  </si>
  <si>
    <t>2024-03-25</t>
  </si>
  <si>
    <t>RFID세탁물관리시스템 개발비(할부 5/11) 1 X 1,000,000</t>
  </si>
  <si>
    <t>2024-04-26</t>
  </si>
  <si>
    <t>RFID세탁물관리시스템 개발비(할부 6/11) 1 X 1,000,000</t>
  </si>
  <si>
    <t>2024-05-28</t>
  </si>
  <si>
    <t>RFID세탁물관리시스템 개발비(할부 7/11) 1 X 1,000,000</t>
  </si>
  <si>
    <t>2024-06-26</t>
  </si>
  <si>
    <t>RFID세탁물관리시스템 개발비(할부 8/11) 1 X 1,000,000</t>
  </si>
  <si>
    <t>2024-07-29</t>
  </si>
  <si>
    <t>RFID세탁물관리시스템 개발비(할부 9/11) 1 X 1,000,000</t>
  </si>
  <si>
    <t>2024-08-28</t>
  </si>
  <si>
    <t>RFID세탁물관리시스템 개발비(할부 10/11) 1 X 1,000,000</t>
  </si>
  <si>
    <t>2024-09-26</t>
  </si>
  <si>
    <t>RFID세탁물관리시스템 개발비(할부 11/11) 1 X 1,000,000</t>
  </si>
  <si>
    <t>2024-10-28</t>
  </si>
  <si>
    <t>개발비 합계</t>
    <phoneticPr fontId="67" type="noConversion"/>
  </si>
  <si>
    <t>소프트웨어</t>
    <phoneticPr fontId="67" type="noConversion"/>
  </si>
  <si>
    <t>2023 이전</t>
    <phoneticPr fontId="67" type="noConversion"/>
  </si>
  <si>
    <t>한글과컴퓨터 3개</t>
  </si>
  <si>
    <t>2019-05-30</t>
  </si>
  <si>
    <t>오피스2019(엑셀3)</t>
  </si>
  <si>
    <t>2019-06-10</t>
  </si>
  <si>
    <t>윈도우10 10개</t>
  </si>
  <si>
    <t>2020-03-17</t>
  </si>
  <si>
    <t>2023 이전 합계</t>
    <phoneticPr fontId="67" type="noConversion"/>
  </si>
  <si>
    <t>소프트웨어 합계</t>
    <phoneticPr fontId="67" type="noConversion"/>
  </si>
  <si>
    <t>기타의 무형자산</t>
    <phoneticPr fontId="67" type="noConversion"/>
  </si>
  <si>
    <t>웹사이트 제작 1 X 2,727,273</t>
  </si>
  <si>
    <t>2023-01-03</t>
  </si>
  <si>
    <t>웹사이트제작(잔금) 1</t>
  </si>
  <si>
    <t>2023-08-02</t>
  </si>
  <si>
    <t>기타의 무형자산 합계</t>
    <phoneticPr fontId="67" type="noConversion"/>
  </si>
  <si>
    <t>무형자산 합 계</t>
    <phoneticPr fontId="67" type="noConversion"/>
  </si>
  <si>
    <t>총 합 계</t>
    <phoneticPr fontId="67" type="noConversion"/>
  </si>
  <si>
    <r>
      <t xml:space="preserve">▶스테리케어 자산 </t>
    </r>
    <r>
      <rPr>
        <b/>
        <sz val="14"/>
        <color indexed="10"/>
        <rFont val="맑은 고딕"/>
        <family val="3"/>
        <charset val="129"/>
      </rPr>
      <t>제외</t>
    </r>
    <phoneticPr fontId="73" type="noConversion"/>
  </si>
  <si>
    <t>유     형     자     산</t>
    <phoneticPr fontId="67" type="noConversion"/>
  </si>
  <si>
    <t>건물</t>
    <phoneticPr fontId="67" type="noConversion"/>
  </si>
  <si>
    <t>부천시 소사구 소사본동 90-6</t>
  </si>
  <si>
    <t>2005-05-31</t>
  </si>
  <si>
    <t>건물 합계</t>
    <phoneticPr fontId="67" type="noConversion"/>
  </si>
  <si>
    <t>탑차</t>
  </si>
  <si>
    <t>2019-11-20</t>
  </si>
  <si>
    <t>렉서스</t>
  </si>
  <si>
    <t>2021-02-26</t>
  </si>
  <si>
    <t>수식범위 오류 수정</t>
    <phoneticPr fontId="67" type="noConversion"/>
  </si>
  <si>
    <t>테슬라 LongRange</t>
  </si>
  <si>
    <t>2023-03-10</t>
  </si>
  <si>
    <t>K3</t>
  </si>
  <si>
    <t>2023년 이전</t>
    <phoneticPr fontId="67" type="noConversion"/>
  </si>
  <si>
    <t>IBM</t>
  </si>
  <si>
    <t>2005-05-20</t>
  </si>
  <si>
    <t>SIMS</t>
  </si>
  <si>
    <t>책상</t>
  </si>
  <si>
    <t>2006-05-02</t>
  </si>
  <si>
    <t>가구</t>
  </si>
  <si>
    <t>2007-05-30</t>
  </si>
  <si>
    <t>IBM SERVER</t>
  </si>
  <si>
    <t>2008-12-24</t>
  </si>
  <si>
    <t>웹주문시스템개발용역</t>
  </si>
  <si>
    <t>2009-05-13</t>
  </si>
  <si>
    <t>2009-07-13</t>
  </si>
  <si>
    <t>데스크외</t>
  </si>
  <si>
    <t>2010-02-11</t>
  </si>
  <si>
    <t>냉난방기설치</t>
  </si>
  <si>
    <t>2011-08-26</t>
  </si>
  <si>
    <t>프린트</t>
  </si>
  <si>
    <t>2012-11-12</t>
  </si>
  <si>
    <t>휴렛팩커드 피씨</t>
  </si>
  <si>
    <t>2013-01-01</t>
  </si>
  <si>
    <t>레노버 태블릿피씨</t>
  </si>
  <si>
    <t>2013-07-05</t>
  </si>
  <si>
    <t>hp 컴퓨터</t>
  </si>
  <si>
    <t>2014-04-11</t>
  </si>
  <si>
    <t>레노버 노트북</t>
  </si>
  <si>
    <t>2014-06-09</t>
  </si>
  <si>
    <t>삼성컴퓨터</t>
  </si>
  <si>
    <t>2015-06-22</t>
  </si>
  <si>
    <t>삼성 DM700A 4J-KN54 컴퓨터</t>
  </si>
  <si>
    <t>2015-10-07</t>
  </si>
  <si>
    <t>사무실 파티션</t>
  </si>
  <si>
    <t>2015-12-14</t>
  </si>
  <si>
    <t>삼성 노트북</t>
  </si>
  <si>
    <t>2016-01-05</t>
  </si>
  <si>
    <t>노트북</t>
  </si>
  <si>
    <t>2016-02-02</t>
  </si>
  <si>
    <t>벽걸이형 에어컨</t>
  </si>
  <si>
    <t>2016-05-17</t>
  </si>
  <si>
    <t>HP ProDesk 600 G2 MT 10P</t>
  </si>
  <si>
    <t>2017-03-17</t>
  </si>
  <si>
    <t>HP 600 G3 T65R8W10-S2H3</t>
  </si>
  <si>
    <t>2017-06-20</t>
  </si>
  <si>
    <t>2017-06-22</t>
  </si>
  <si>
    <t>PC HP 프로타워 400 G9 (김준형 전무 PC)</t>
  </si>
  <si>
    <t>2024-09-27</t>
  </si>
  <si>
    <t>[본사] 컴퓨터및 주변기기(조립PC 8대)</t>
  </si>
  <si>
    <t>2025-09-10</t>
  </si>
  <si>
    <t>노트북 1 X 909,090+1,151,818</t>
  </si>
  <si>
    <t>2025-09-21</t>
  </si>
  <si>
    <t>사무실환경개선공사</t>
  </si>
  <si>
    <t>2011-08-25</t>
  </si>
  <si>
    <t>앵글설치</t>
  </si>
  <si>
    <t>2014-11-24</t>
  </si>
  <si>
    <t>사무실리모델링</t>
  </si>
  <si>
    <t>2015-12-23</t>
  </si>
  <si>
    <t>neo-iplus</t>
  </si>
  <si>
    <t>2013-08-20</t>
  </si>
  <si>
    <t>iplus cloud</t>
  </si>
  <si>
    <t>adobe cs6 photoshop</t>
  </si>
  <si>
    <t>2016-05-25</t>
  </si>
  <si>
    <t>고정자산 총 합 계</t>
    <phoneticPr fontId="67" type="noConversion"/>
  </si>
  <si>
    <t>5월02일 가스 충전</t>
  </si>
  <si>
    <t>5월10일 가스 충전</t>
  </si>
  <si>
    <t>5월23일 가스 충전</t>
  </si>
  <si>
    <t>차량지입료(4월분) 지급</t>
  </si>
  <si>
    <t>차량지입료(4월분) 지급-파주+뉴고려+일산중심</t>
  </si>
  <si>
    <t>파주 : 250만원/뉴고려 : 120만원/일산중심 : 60만원(VAT미포함) = 총 430만원 - 할인 50만원</t>
  </si>
  <si>
    <t>김포 원룸 월세</t>
  </si>
  <si>
    <t>26.04.23~26.05.22까지의 월세</t>
  </si>
  <si>
    <t>전계룡 퇴직금 지급(24.09.23~26.04.24)</t>
  </si>
  <si>
    <t>산정액(6,895,128원) - 퇴직소득세(94,020원)</t>
  </si>
  <si>
    <t>845부2564(마이티) 2026.05.08~2027.05.08</t>
  </si>
  <si>
    <t>현대해상화재보험</t>
  </si>
  <si>
    <t>쓰리엠장갑</t>
  </si>
  <si>
    <t>TV스탠드</t>
  </si>
  <si>
    <t>PU코팅장갑</t>
  </si>
  <si>
    <t>에어보나 공업용 대형 메탈 선풍기</t>
  </si>
  <si>
    <t>종이컵 1박스</t>
  </si>
  <si>
    <t>비누 8개</t>
  </si>
  <si>
    <t>마포대 3개/마포걸레 10개</t>
  </si>
  <si>
    <t>백색 비닐봉투 400개</t>
  </si>
  <si>
    <t>산업용 멀티탭</t>
  </si>
  <si>
    <t>녹물제거제 18L 2통</t>
  </si>
  <si>
    <t>총액</t>
    <phoneticPr fontId="4" type="noConversion"/>
  </si>
  <si>
    <t>등기/택배비</t>
    <phoneticPr fontId="4" type="noConversion"/>
  </si>
  <si>
    <t>등기 및 착불택배</t>
    <phoneticPr fontId="4" type="noConversion"/>
  </si>
  <si>
    <t>비 합계</t>
    <phoneticPr fontId="4" type="noConversion"/>
  </si>
  <si>
    <t>활성탄</t>
    <phoneticPr fontId="4" type="noConversion"/>
  </si>
  <si>
    <t>PH센서 설치</t>
    <phoneticPr fontId="4" type="noConversion"/>
  </si>
  <si>
    <t>인건비3</t>
  </si>
  <si>
    <t>인건비4</t>
  </si>
  <si>
    <t>인건비5</t>
  </si>
  <si>
    <t>인건비6</t>
  </si>
  <si>
    <t>인건비7</t>
  </si>
  <si>
    <t>인건비8</t>
  </si>
  <si>
    <t>서비스매출원가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</si>
</sst>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-* #,##0_-;\-* #,##0_-;_-* &quot;-&quot;_-;_-@_-"/>
    <numFmt numFmtId="177" formatCode="#,##0_ ;[Red]\-#,##0\ "/>
    <numFmt numFmtId="178" formatCode="0.0%"/>
    <numFmt numFmtId="179" formatCode="#,##0_ "/>
    <numFmt numFmtId="180" formatCode="m&quot;/&quot;d;@"/>
    <numFmt numFmtId="181" formatCode="#,##0;[Red]\-\-"/>
    <numFmt numFmtId="182" formatCode="_-* #,##0_-;\-* #,##0_-;_-* &quot;-&quot;??_-;_-@_-"/>
    <numFmt numFmtId="183" formatCode="_-* #,##0_-;\-* #,##0_-;_-* &quot;-&quot;_-;_-@"/>
    <numFmt numFmtId="184" formatCode="m&quot;/&quot;d"/>
    <numFmt numFmtId="185" formatCode="#,##0.0"/>
    <numFmt numFmtId="186" formatCode="0.0"/>
  </numFmts>
  <fonts count="1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theme="1" tint="4.9989318521683403E-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color theme="2" tint="-0.89999084444715716"/>
      <name val="맑은 고딕"/>
      <family val="3"/>
      <charset val="129"/>
      <scheme val="minor"/>
    </font>
    <font>
      <strike/>
      <sz val="10"/>
      <color rgb="FFFF0000"/>
      <name val="맑은 고딕"/>
      <family val="3"/>
      <charset val="129"/>
      <scheme val="minor"/>
    </font>
    <font>
      <u val="singleAccounting"/>
      <sz val="11"/>
      <color rgb="FF0000FF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b/>
      <sz val="12"/>
      <color indexed="81"/>
      <name val="Tahoma"/>
      <family val="2"/>
    </font>
    <font>
      <b/>
      <sz val="12"/>
      <color indexed="81"/>
      <name val="돋움"/>
      <family val="3"/>
      <charset val="129"/>
    </font>
    <font>
      <sz val="12"/>
      <color indexed="81"/>
      <name val="Tahoma"/>
      <family val="2"/>
    </font>
    <font>
      <sz val="12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sz val="10"/>
      <color indexed="81"/>
      <name val="Tahoma"/>
      <family val="2"/>
    </font>
    <font>
      <sz val="10"/>
      <color indexed="81"/>
      <name val="돋움"/>
      <family val="3"/>
      <charset val="129"/>
    </font>
    <font>
      <sz val="12"/>
      <color indexed="81"/>
      <name val="맑은 고딕"/>
      <family val="3"/>
      <charset val="129"/>
    </font>
    <font>
      <b/>
      <sz val="12"/>
      <color indexed="81"/>
      <name val="맑은 고딕"/>
      <family val="3"/>
      <charset val="129"/>
    </font>
    <font>
      <sz val="12"/>
      <color indexed="81"/>
      <name val="함초롬돋움"/>
      <family val="3"/>
      <charset val="129"/>
    </font>
    <font>
      <sz val="11"/>
      <name val="맑은 고딕"/>
      <family val="3"/>
      <charset val="129"/>
      <scheme val="minor"/>
    </font>
    <font>
      <u/>
      <sz val="10"/>
      <color rgb="FF0000FF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0"/>
      <name val="굴림"/>
      <family val="3"/>
      <charset val="129"/>
    </font>
    <font>
      <b/>
      <sz val="11"/>
      <name val="맑은 고딕"/>
      <family val="3"/>
      <charset val="129"/>
    </font>
    <font>
      <sz val="8"/>
      <name val="굴림"/>
      <family val="3"/>
      <charset val="129"/>
    </font>
    <font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9"/>
      <color indexed="8"/>
      <name val="굴림체"/>
      <family val="3"/>
      <charset val="129"/>
    </font>
    <font>
      <b/>
      <sz val="16"/>
      <color indexed="8"/>
      <name val="맑은 고딕"/>
      <family val="3"/>
      <charset val="129"/>
    </font>
    <font>
      <sz val="8"/>
      <name val="굴림체"/>
      <family val="3"/>
      <charset val="129"/>
    </font>
    <font>
      <sz val="9"/>
      <color indexed="8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rgb="FF0000FF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11"/>
      <color rgb="FF0000FF"/>
      <name val="맑은 고딕"/>
      <family val="2"/>
      <charset val="129"/>
      <scheme val="minor"/>
    </font>
    <font>
      <strike/>
      <sz val="11"/>
      <color rgb="FF000000"/>
      <name val="맑은 고딕"/>
      <family val="3"/>
      <charset val="129"/>
    </font>
    <font>
      <strike/>
      <sz val="11"/>
      <color rgb="FFFF0000"/>
      <name val="맑은 고딕"/>
      <family val="3"/>
      <charset val="129"/>
      <scheme val="minor"/>
    </font>
    <font>
      <strike/>
      <sz val="11"/>
      <color rgb="FF0000FF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1735FC"/>
      <name val="맑은 고딕"/>
      <family val="3"/>
      <charset val="129"/>
    </font>
    <font>
      <u/>
      <sz val="11"/>
      <color indexed="81"/>
      <name val="돋움"/>
      <family val="3"/>
      <charset val="129"/>
    </font>
    <font>
      <u/>
      <sz val="11"/>
      <color indexed="81"/>
      <name val="Tahoma"/>
      <family val="2"/>
    </font>
    <font>
      <sz val="10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color indexed="10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b/>
      <sz val="11"/>
      <color rgb="FF000000"/>
      <name val="Tahoma"/>
      <family val="2"/>
    </font>
    <font>
      <b/>
      <sz val="11"/>
      <color rgb="FF000000"/>
      <name val="돋움"/>
      <family val="2"/>
      <charset val="129"/>
    </font>
    <font>
      <sz val="11"/>
      <color rgb="FF000000"/>
      <name val="Tahoma"/>
      <family val="2"/>
    </font>
    <font>
      <sz val="11"/>
      <color rgb="FF000000"/>
      <name val="돋움"/>
      <family val="2"/>
      <charset val="129"/>
    </font>
    <font>
      <b/>
      <sz val="12"/>
      <color rgb="FF000000"/>
      <name val="Tahoma"/>
      <family val="2"/>
    </font>
    <font>
      <b/>
      <sz val="12"/>
      <color rgb="FF000000"/>
      <name val="돋움"/>
      <family val="2"/>
      <charset val="129"/>
    </font>
    <font>
      <sz val="12"/>
      <color rgb="FF000000"/>
      <name val="Tahoma"/>
      <family val="2"/>
    </font>
    <font>
      <sz val="12"/>
      <color rgb="FF000000"/>
      <name val="돋움"/>
      <family val="2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2"/>
      <charset val="129"/>
    </font>
    <font>
      <sz val="9"/>
      <color rgb="FF000000"/>
      <name val="Tahoma"/>
      <family val="2"/>
    </font>
    <font>
      <sz val="9"/>
      <color rgb="FF000000"/>
      <name val="돋움"/>
      <family val="2"/>
      <charset val="129"/>
    </font>
    <font>
      <b/>
      <sz val="10"/>
      <color rgb="FF000000"/>
      <name val="Tahoma"/>
      <family val="2"/>
    </font>
    <font>
      <b/>
      <sz val="10"/>
      <color rgb="FF000000"/>
      <name val="돋움"/>
      <family val="2"/>
      <charset val="129"/>
    </font>
    <font>
      <sz val="10"/>
      <color rgb="FF000000"/>
      <name val="Tahoma"/>
      <family val="2"/>
    </font>
    <font>
      <sz val="10"/>
      <color rgb="FF000000"/>
      <name val="돋움"/>
      <family val="2"/>
      <charset val="129"/>
    </font>
  </fonts>
  <fills count="5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DD9C3"/>
        <bgColor rgb="FFDDD9C3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E4C9FF"/>
        <bgColor indexed="64"/>
      </patternFill>
    </fill>
    <fill>
      <patternFill patternType="solid">
        <fgColor rgb="FFFFCDE1"/>
        <bgColor indexed="64"/>
      </patternFill>
    </fill>
    <fill>
      <patternFill patternType="solid">
        <fgColor rgb="FFB3D2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BDFFBD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FFE89F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2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medium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 style="medium">
        <color indexed="64"/>
      </right>
      <top style="thin">
        <color indexed="22"/>
      </top>
      <bottom/>
      <diagonal/>
    </border>
    <border>
      <left/>
      <right style="thin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22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8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medium">
        <color indexed="64"/>
      </bottom>
      <diagonal/>
    </border>
    <border>
      <left style="thin">
        <color indexed="22"/>
      </left>
      <right/>
      <top style="thin">
        <color indexed="8"/>
      </top>
      <bottom style="medium">
        <color indexed="64"/>
      </bottom>
      <diagonal/>
    </border>
    <border>
      <left/>
      <right style="thin">
        <color indexed="22"/>
      </right>
      <top style="thin">
        <color indexed="8"/>
      </top>
      <bottom/>
      <diagonal/>
    </border>
    <border>
      <left style="thin">
        <color indexed="22"/>
      </left>
      <right/>
      <top style="thin">
        <color indexed="8"/>
      </top>
      <bottom/>
      <diagonal/>
    </border>
    <border>
      <left/>
      <right style="thin">
        <color indexed="22"/>
      </right>
      <top style="medium">
        <color indexed="64"/>
      </top>
      <bottom/>
      <diagonal/>
    </border>
    <border>
      <left style="thin">
        <color indexed="22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22"/>
      </right>
      <top style="thin">
        <color indexed="8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8" fillId="0" borderId="0" applyAlignment="0">
      <alignment vertical="top" wrapText="1"/>
      <protection locked="0"/>
    </xf>
    <xf numFmtId="176" fontId="58" fillId="0" borderId="0" applyFont="0" applyFill="0" applyBorder="0" applyAlignment="0" applyProtection="0">
      <alignment vertical="top" wrapText="1"/>
      <protection locked="0"/>
    </xf>
    <xf numFmtId="0" fontId="65" fillId="0" borderId="0"/>
    <xf numFmtId="176" fontId="65" fillId="0" borderId="0" applyFont="0" applyFill="0" applyBorder="0" applyAlignment="0" applyProtection="0"/>
    <xf numFmtId="0" fontId="83" fillId="0" borderId="0"/>
  </cellStyleXfs>
  <cellXfs count="1372">
    <xf numFmtId="0" fontId="0" fillId="0" borderId="0" xfId="0">
      <alignment vertical="center"/>
    </xf>
    <xf numFmtId="0" fontId="5" fillId="0" borderId="0" xfId="0" applyFont="1" applyAlignment="1">
      <alignment horizontal="left" vertical="center"/>
    </xf>
    <xf numFmtId="10" fontId="5" fillId="0" borderId="0" xfId="0" applyNumberFormat="1" applyFont="1" applyAlignment="1">
      <alignment horizontal="left" vertical="center"/>
    </xf>
    <xf numFmtId="176" fontId="5" fillId="0" borderId="0" xfId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2" fillId="0" borderId="8" xfId="0" applyFont="1" applyBorder="1">
      <alignment vertical="center"/>
    </xf>
    <xf numFmtId="177" fontId="7" fillId="0" borderId="11" xfId="0" applyNumberFormat="1" applyFont="1" applyBorder="1" applyAlignment="1">
      <alignment horizontal="right" vertical="center"/>
    </xf>
    <xf numFmtId="177" fontId="5" fillId="11" borderId="12" xfId="0" applyNumberFormat="1" applyFont="1" applyFill="1" applyBorder="1" applyAlignment="1">
      <alignment horizontal="right" vertical="center"/>
    </xf>
    <xf numFmtId="10" fontId="11" fillId="6" borderId="9" xfId="0" applyNumberFormat="1" applyFont="1" applyFill="1" applyBorder="1" applyAlignment="1">
      <alignment horizontal="center" vertical="center"/>
    </xf>
    <xf numFmtId="10" fontId="11" fillId="7" borderId="10" xfId="0" applyNumberFormat="1" applyFont="1" applyFill="1" applyBorder="1" applyAlignment="1">
      <alignment horizontal="center" vertical="center"/>
    </xf>
    <xf numFmtId="10" fontId="11" fillId="6" borderId="13" xfId="0" applyNumberFormat="1" applyFont="1" applyFill="1" applyBorder="1" applyAlignment="1">
      <alignment horizontal="center" vertical="center"/>
    </xf>
    <xf numFmtId="10" fontId="13" fillId="0" borderId="14" xfId="0" applyNumberFormat="1" applyFont="1" applyBorder="1" applyAlignment="1">
      <alignment horizontal="center" vertical="center"/>
    </xf>
    <xf numFmtId="177" fontId="8" fillId="0" borderId="0" xfId="0" applyNumberFormat="1" applyFont="1">
      <alignment vertical="center"/>
    </xf>
    <xf numFmtId="177" fontId="7" fillId="0" borderId="0" xfId="0" applyNumberFormat="1" applyFont="1">
      <alignment vertical="center"/>
    </xf>
    <xf numFmtId="0" fontId="12" fillId="0" borderId="16" xfId="0" applyFont="1" applyBorder="1">
      <alignment vertical="center"/>
    </xf>
    <xf numFmtId="177" fontId="7" fillId="0" borderId="17" xfId="0" applyNumberFormat="1" applyFont="1" applyBorder="1" applyAlignment="1">
      <alignment horizontal="right" vertical="center"/>
    </xf>
    <xf numFmtId="177" fontId="7" fillId="0" borderId="18" xfId="0" applyNumberFormat="1" applyFont="1" applyBorder="1" applyAlignment="1">
      <alignment horizontal="right" vertical="center"/>
    </xf>
    <xf numFmtId="177" fontId="7" fillId="0" borderId="19" xfId="0" applyNumberFormat="1" applyFont="1" applyBorder="1" applyAlignment="1">
      <alignment horizontal="right" vertical="center"/>
    </xf>
    <xf numFmtId="177" fontId="5" fillId="11" borderId="20" xfId="0" applyNumberFormat="1" applyFont="1" applyFill="1" applyBorder="1" applyAlignment="1">
      <alignment horizontal="right" vertical="center"/>
    </xf>
    <xf numFmtId="10" fontId="11" fillId="6" borderId="17" xfId="0" applyNumberFormat="1" applyFont="1" applyFill="1" applyBorder="1" applyAlignment="1">
      <alignment horizontal="center" vertical="center"/>
    </xf>
    <xf numFmtId="177" fontId="7" fillId="10" borderId="17" xfId="0" applyNumberFormat="1" applyFont="1" applyFill="1" applyBorder="1" applyAlignment="1">
      <alignment horizontal="right" vertical="center"/>
    </xf>
    <xf numFmtId="10" fontId="11" fillId="6" borderId="18" xfId="0" applyNumberFormat="1" applyFont="1" applyFill="1" applyBorder="1" applyAlignment="1">
      <alignment horizontal="center" vertical="center"/>
    </xf>
    <xf numFmtId="177" fontId="5" fillId="11" borderId="18" xfId="0" applyNumberFormat="1" applyFont="1" applyFill="1" applyBorder="1" applyAlignment="1">
      <alignment horizontal="right" vertical="center"/>
    </xf>
    <xf numFmtId="176" fontId="7" fillId="0" borderId="18" xfId="1" applyFont="1" applyFill="1" applyBorder="1" applyAlignment="1">
      <alignment horizontal="right" vertical="center"/>
    </xf>
    <xf numFmtId="176" fontId="12" fillId="0" borderId="18" xfId="1" applyFont="1" applyFill="1" applyBorder="1" applyAlignment="1">
      <alignment horizontal="right" vertical="center"/>
    </xf>
    <xf numFmtId="10" fontId="13" fillId="0" borderId="21" xfId="0" applyNumberFormat="1" applyFont="1" applyBorder="1" applyAlignment="1">
      <alignment horizontal="center" vertical="center"/>
    </xf>
    <xf numFmtId="0" fontId="14" fillId="12" borderId="22" xfId="0" applyFont="1" applyFill="1" applyBorder="1">
      <alignment vertical="center"/>
    </xf>
    <xf numFmtId="177" fontId="7" fillId="0" borderId="23" xfId="0" applyNumberFormat="1" applyFont="1" applyBorder="1" applyAlignment="1">
      <alignment horizontal="right" vertical="center"/>
    </xf>
    <xf numFmtId="177" fontId="7" fillId="0" borderId="15" xfId="0" applyNumberFormat="1" applyFont="1" applyBorder="1" applyAlignment="1">
      <alignment horizontal="right" vertical="center"/>
    </xf>
    <xf numFmtId="177" fontId="7" fillId="0" borderId="24" xfId="0" applyNumberFormat="1" applyFont="1" applyBorder="1" applyAlignment="1">
      <alignment horizontal="right" vertical="center"/>
    </xf>
    <xf numFmtId="177" fontId="5" fillId="11" borderId="25" xfId="0" applyNumberFormat="1" applyFont="1" applyFill="1" applyBorder="1" applyAlignment="1">
      <alignment horizontal="right" vertical="center"/>
    </xf>
    <xf numFmtId="10" fontId="13" fillId="0" borderId="28" xfId="0" applyNumberFormat="1" applyFont="1" applyBorder="1" applyAlignment="1">
      <alignment horizontal="center" vertical="center"/>
    </xf>
    <xf numFmtId="0" fontId="5" fillId="13" borderId="29" xfId="0" applyFont="1" applyFill="1" applyBorder="1" applyAlignment="1">
      <alignment horizontal="center" vertical="center"/>
    </xf>
    <xf numFmtId="177" fontId="5" fillId="13" borderId="30" xfId="0" applyNumberFormat="1" applyFont="1" applyFill="1" applyBorder="1" applyAlignment="1">
      <alignment horizontal="right" vertical="center"/>
    </xf>
    <xf numFmtId="177" fontId="5" fillId="13" borderId="31" xfId="0" applyNumberFormat="1" applyFont="1" applyFill="1" applyBorder="1" applyAlignment="1">
      <alignment horizontal="right" vertical="center"/>
    </xf>
    <xf numFmtId="177" fontId="5" fillId="13" borderId="32" xfId="0" applyNumberFormat="1" applyFont="1" applyFill="1" applyBorder="1" applyAlignment="1">
      <alignment horizontal="right" vertical="center"/>
    </xf>
    <xf numFmtId="177" fontId="5" fillId="13" borderId="33" xfId="0" applyNumberFormat="1" applyFont="1" applyFill="1" applyBorder="1" applyAlignment="1">
      <alignment horizontal="right" vertical="center"/>
    </xf>
    <xf numFmtId="10" fontId="5" fillId="13" borderId="30" xfId="0" applyNumberFormat="1" applyFont="1" applyFill="1" applyBorder="1" applyAlignment="1">
      <alignment horizontal="center" vertical="center"/>
    </xf>
    <xf numFmtId="10" fontId="5" fillId="13" borderId="31" xfId="0" applyNumberFormat="1" applyFont="1" applyFill="1" applyBorder="1" applyAlignment="1">
      <alignment horizontal="center" vertical="center"/>
    </xf>
    <xf numFmtId="10" fontId="13" fillId="13" borderId="29" xfId="0" applyNumberFormat="1" applyFont="1" applyFill="1" applyBorder="1" applyAlignment="1">
      <alignment horizontal="center" vertical="center"/>
    </xf>
    <xf numFmtId="0" fontId="12" fillId="0" borderId="34" xfId="0" applyFont="1" applyBorder="1">
      <alignment vertical="center"/>
    </xf>
    <xf numFmtId="177" fontId="7" fillId="0" borderId="35" xfId="0" applyNumberFormat="1" applyFont="1" applyBorder="1" applyAlignment="1">
      <alignment horizontal="right" vertical="center"/>
    </xf>
    <xf numFmtId="177" fontId="7" fillId="0" borderId="13" xfId="0" applyNumberFormat="1" applyFont="1" applyBorder="1" applyAlignment="1">
      <alignment horizontal="right" vertical="center"/>
    </xf>
    <xf numFmtId="177" fontId="7" fillId="0" borderId="36" xfId="0" applyNumberFormat="1" applyFont="1" applyBorder="1" applyAlignment="1">
      <alignment horizontal="right" vertical="center"/>
    </xf>
    <xf numFmtId="177" fontId="5" fillId="11" borderId="37" xfId="0" applyNumberFormat="1" applyFont="1" applyFill="1" applyBorder="1" applyAlignment="1">
      <alignment horizontal="right" vertical="center"/>
    </xf>
    <xf numFmtId="10" fontId="11" fillId="6" borderId="35" xfId="0" applyNumberFormat="1" applyFont="1" applyFill="1" applyBorder="1" applyAlignment="1">
      <alignment horizontal="center" vertical="center"/>
    </xf>
    <xf numFmtId="10" fontId="11" fillId="7" borderId="13" xfId="0" applyNumberFormat="1" applyFont="1" applyFill="1" applyBorder="1" applyAlignment="1">
      <alignment horizontal="center" vertical="center"/>
    </xf>
    <xf numFmtId="177" fontId="5" fillId="11" borderId="13" xfId="0" applyNumberFormat="1" applyFont="1" applyFill="1" applyBorder="1" applyAlignment="1">
      <alignment horizontal="right" vertical="center"/>
    </xf>
    <xf numFmtId="176" fontId="7" fillId="0" borderId="13" xfId="1" applyFont="1" applyFill="1" applyBorder="1" applyAlignment="1">
      <alignment horizontal="right" vertical="center"/>
    </xf>
    <xf numFmtId="176" fontId="12" fillId="0" borderId="13" xfId="1" applyFont="1" applyFill="1" applyBorder="1" applyAlignment="1">
      <alignment horizontal="right" vertical="center"/>
    </xf>
    <xf numFmtId="177" fontId="5" fillId="5" borderId="37" xfId="0" applyNumberFormat="1" applyFont="1" applyFill="1" applyBorder="1" applyAlignment="1">
      <alignment horizontal="right" vertical="center"/>
    </xf>
    <xf numFmtId="10" fontId="13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right" vertical="center"/>
    </xf>
    <xf numFmtId="177" fontId="7" fillId="0" borderId="27" xfId="0" applyNumberFormat="1" applyFont="1" applyBorder="1" applyAlignment="1">
      <alignment horizontal="right" vertical="center"/>
    </xf>
    <xf numFmtId="0" fontId="12" fillId="0" borderId="22" xfId="0" applyFont="1" applyBorder="1">
      <alignment vertical="center"/>
    </xf>
    <xf numFmtId="10" fontId="13" fillId="0" borderId="41" xfId="0" applyNumberFormat="1" applyFont="1" applyBorder="1" applyAlignment="1">
      <alignment horizontal="center" vertical="center"/>
    </xf>
    <xf numFmtId="177" fontId="10" fillId="0" borderId="0" xfId="0" applyNumberFormat="1" applyFont="1">
      <alignment vertical="center"/>
    </xf>
    <xf numFmtId="177" fontId="5" fillId="16" borderId="46" xfId="0" applyNumberFormat="1" applyFont="1" applyFill="1" applyBorder="1" applyAlignment="1">
      <alignment horizontal="right" vertical="center"/>
    </xf>
    <xf numFmtId="177" fontId="5" fillId="16" borderId="47" xfId="0" applyNumberFormat="1" applyFont="1" applyFill="1" applyBorder="1" applyAlignment="1">
      <alignment horizontal="right" vertical="center"/>
    </xf>
    <xf numFmtId="177" fontId="5" fillId="16" borderId="48" xfId="0" applyNumberFormat="1" applyFont="1" applyFill="1" applyBorder="1" applyAlignment="1">
      <alignment horizontal="right" vertical="center"/>
    </xf>
    <xf numFmtId="10" fontId="5" fillId="16" borderId="46" xfId="0" applyNumberFormat="1" applyFont="1" applyFill="1" applyBorder="1" applyAlignment="1">
      <alignment horizontal="center" vertical="center"/>
    </xf>
    <xf numFmtId="10" fontId="5" fillId="16" borderId="44" xfId="0" applyNumberFormat="1" applyFont="1" applyFill="1" applyBorder="1" applyAlignment="1">
      <alignment horizontal="center" vertical="center"/>
    </xf>
    <xf numFmtId="10" fontId="13" fillId="0" borderId="50" xfId="0" applyNumberFormat="1" applyFont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177" fontId="5" fillId="18" borderId="37" xfId="0" applyNumberFormat="1" applyFont="1" applyFill="1" applyBorder="1" applyAlignment="1">
      <alignment horizontal="right" vertical="center"/>
    </xf>
    <xf numFmtId="10" fontId="11" fillId="6" borderId="39" xfId="0" applyNumberFormat="1" applyFont="1" applyFill="1" applyBorder="1" applyAlignment="1">
      <alignment horizontal="center" vertical="center"/>
    </xf>
    <xf numFmtId="10" fontId="11" fillId="7" borderId="26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177" fontId="14" fillId="0" borderId="0" xfId="0" applyNumberFormat="1" applyFont="1">
      <alignment vertical="center"/>
    </xf>
    <xf numFmtId="0" fontId="14" fillId="0" borderId="0" xfId="0" applyFont="1">
      <alignment vertical="center"/>
    </xf>
    <xf numFmtId="0" fontId="7" fillId="0" borderId="18" xfId="0" applyFont="1" applyBorder="1" applyAlignment="1">
      <alignment horizontal="center" vertical="center"/>
    </xf>
    <xf numFmtId="0" fontId="7" fillId="20" borderId="18" xfId="0" applyFont="1" applyFill="1" applyBorder="1" applyAlignment="1">
      <alignment horizontal="center" vertical="center"/>
    </xf>
    <xf numFmtId="0" fontId="12" fillId="11" borderId="16" xfId="0" applyFont="1" applyFill="1" applyBorder="1">
      <alignment vertical="center"/>
    </xf>
    <xf numFmtId="177" fontId="5" fillId="4" borderId="20" xfId="0" applyNumberFormat="1" applyFont="1" applyFill="1" applyBorder="1" applyAlignment="1">
      <alignment horizontal="right" vertical="center"/>
    </xf>
    <xf numFmtId="10" fontId="11" fillId="7" borderId="18" xfId="0" applyNumberFormat="1" applyFont="1" applyFill="1" applyBorder="1" applyAlignment="1">
      <alignment horizontal="center" vertical="center"/>
    </xf>
    <xf numFmtId="177" fontId="5" fillId="4" borderId="18" xfId="0" applyNumberFormat="1" applyFont="1" applyFill="1" applyBorder="1" applyAlignment="1">
      <alignment horizontal="right" vertical="center"/>
    </xf>
    <xf numFmtId="177" fontId="5" fillId="4" borderId="19" xfId="0" applyNumberFormat="1" applyFont="1" applyFill="1" applyBorder="1" applyAlignment="1">
      <alignment horizontal="right" vertical="center"/>
    </xf>
    <xf numFmtId="177" fontId="7" fillId="0" borderId="17" xfId="0" applyNumberFormat="1" applyFont="1" applyBorder="1">
      <alignment vertical="center"/>
    </xf>
    <xf numFmtId="0" fontId="6" fillId="11" borderId="16" xfId="0" applyFont="1" applyFill="1" applyBorder="1">
      <alignment vertical="center"/>
    </xf>
    <xf numFmtId="177" fontId="12" fillId="0" borderId="17" xfId="0" applyNumberFormat="1" applyFont="1" applyBorder="1" applyAlignment="1">
      <alignment horizontal="right" vertical="center"/>
    </xf>
    <xf numFmtId="177" fontId="7" fillId="17" borderId="17" xfId="0" applyNumberFormat="1" applyFont="1" applyFill="1" applyBorder="1" applyAlignment="1">
      <alignment horizontal="right" vertical="center"/>
    </xf>
    <xf numFmtId="0" fontId="10" fillId="11" borderId="16" xfId="0" applyFont="1" applyFill="1" applyBorder="1">
      <alignment vertical="center"/>
    </xf>
    <xf numFmtId="0" fontId="7" fillId="10" borderId="24" xfId="0" applyFont="1" applyFill="1" applyBorder="1">
      <alignment vertical="center"/>
    </xf>
    <xf numFmtId="0" fontId="7" fillId="10" borderId="15" xfId="0" applyFont="1" applyFill="1" applyBorder="1" applyAlignment="1">
      <alignment horizontal="center" vertical="center"/>
    </xf>
    <xf numFmtId="0" fontId="12" fillId="11" borderId="34" xfId="0" applyFont="1" applyFill="1" applyBorder="1">
      <alignment vertical="center"/>
    </xf>
    <xf numFmtId="177" fontId="5" fillId="4" borderId="37" xfId="0" applyNumberFormat="1" applyFont="1" applyFill="1" applyBorder="1" applyAlignment="1">
      <alignment horizontal="right" vertical="center"/>
    </xf>
    <xf numFmtId="177" fontId="5" fillId="4" borderId="13" xfId="0" applyNumberFormat="1" applyFont="1" applyFill="1" applyBorder="1" applyAlignment="1">
      <alignment horizontal="right" vertical="center"/>
    </xf>
    <xf numFmtId="0" fontId="7" fillId="10" borderId="26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10" fontId="8" fillId="23" borderId="21" xfId="0" applyNumberFormat="1" applyFont="1" applyFill="1" applyBorder="1" applyAlignment="1">
      <alignment horizontal="center" vertical="center"/>
    </xf>
    <xf numFmtId="0" fontId="7" fillId="20" borderId="13" xfId="0" applyFont="1" applyFill="1" applyBorder="1" applyAlignment="1">
      <alignment horizontal="center" vertical="center"/>
    </xf>
    <xf numFmtId="0" fontId="7" fillId="20" borderId="18" xfId="0" applyFont="1" applyFill="1" applyBorder="1">
      <alignment vertical="center"/>
    </xf>
    <xf numFmtId="177" fontId="5" fillId="25" borderId="46" xfId="0" applyNumberFormat="1" applyFont="1" applyFill="1" applyBorder="1" applyAlignment="1">
      <alignment horizontal="right" vertical="center"/>
    </xf>
    <xf numFmtId="177" fontId="5" fillId="25" borderId="49" xfId="0" applyNumberFormat="1" applyFont="1" applyFill="1" applyBorder="1" applyAlignment="1">
      <alignment horizontal="right" vertical="center"/>
    </xf>
    <xf numFmtId="177" fontId="5" fillId="25" borderId="48" xfId="0" applyNumberFormat="1" applyFont="1" applyFill="1" applyBorder="1" applyAlignment="1">
      <alignment horizontal="right" vertical="center"/>
    </xf>
    <xf numFmtId="10" fontId="5" fillId="25" borderId="46" xfId="0" applyNumberFormat="1" applyFont="1" applyFill="1" applyBorder="1" applyAlignment="1">
      <alignment horizontal="center" vertical="center"/>
    </xf>
    <xf numFmtId="10" fontId="5" fillId="25" borderId="44" xfId="0" applyNumberFormat="1" applyFont="1" applyFill="1" applyBorder="1" applyAlignment="1">
      <alignment horizontal="center" vertical="center"/>
    </xf>
    <xf numFmtId="10" fontId="15" fillId="25" borderId="50" xfId="0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0" fontId="14" fillId="6" borderId="35" xfId="0" applyNumberFormat="1" applyFont="1" applyFill="1" applyBorder="1" applyAlignment="1">
      <alignment horizontal="center" vertical="center"/>
    </xf>
    <xf numFmtId="10" fontId="14" fillId="7" borderId="13" xfId="0" applyNumberFormat="1" applyFont="1" applyFill="1" applyBorder="1" applyAlignment="1">
      <alignment horizontal="center" vertical="center"/>
    </xf>
    <xf numFmtId="10" fontId="10" fillId="0" borderId="38" xfId="0" applyNumberFormat="1" applyFont="1" applyBorder="1" applyAlignment="1">
      <alignment horizontal="center" vertical="center"/>
    </xf>
    <xf numFmtId="0" fontId="7" fillId="26" borderId="15" xfId="0" applyFont="1" applyFill="1" applyBorder="1" applyAlignment="1">
      <alignment horizontal="center" vertical="center"/>
    </xf>
    <xf numFmtId="0" fontId="7" fillId="27" borderId="15" xfId="0" applyFont="1" applyFill="1" applyBorder="1" applyAlignment="1">
      <alignment horizontal="center" vertical="center"/>
    </xf>
    <xf numFmtId="177" fontId="7" fillId="10" borderId="18" xfId="0" applyNumberFormat="1" applyFont="1" applyFill="1" applyBorder="1" applyAlignment="1">
      <alignment horizontal="right" vertical="center"/>
    </xf>
    <xf numFmtId="177" fontId="5" fillId="28" borderId="46" xfId="0" applyNumberFormat="1" applyFont="1" applyFill="1" applyBorder="1" applyAlignment="1">
      <alignment horizontal="right" vertical="center"/>
    </xf>
    <xf numFmtId="177" fontId="5" fillId="28" borderId="49" xfId="0" applyNumberFormat="1" applyFont="1" applyFill="1" applyBorder="1" applyAlignment="1">
      <alignment horizontal="right" vertical="center"/>
    </xf>
    <xf numFmtId="177" fontId="5" fillId="28" borderId="48" xfId="0" applyNumberFormat="1" applyFont="1" applyFill="1" applyBorder="1" applyAlignment="1">
      <alignment horizontal="right" vertical="center"/>
    </xf>
    <xf numFmtId="10" fontId="5" fillId="28" borderId="46" xfId="0" applyNumberFormat="1" applyFont="1" applyFill="1" applyBorder="1" applyAlignment="1">
      <alignment horizontal="center" vertical="center"/>
    </xf>
    <xf numFmtId="10" fontId="5" fillId="28" borderId="44" xfId="0" applyNumberFormat="1" applyFont="1" applyFill="1" applyBorder="1" applyAlignment="1">
      <alignment horizontal="center" vertical="center"/>
    </xf>
    <xf numFmtId="10" fontId="15" fillId="28" borderId="50" xfId="0" applyNumberFormat="1" applyFont="1" applyFill="1" applyBorder="1" applyAlignment="1">
      <alignment horizontal="center" vertical="center"/>
    </xf>
    <xf numFmtId="177" fontId="5" fillId="21" borderId="46" xfId="0" applyNumberFormat="1" applyFont="1" applyFill="1" applyBorder="1" applyAlignment="1">
      <alignment horizontal="right" vertical="center"/>
    </xf>
    <xf numFmtId="177" fontId="5" fillId="21" borderId="44" xfId="0" applyNumberFormat="1" applyFont="1" applyFill="1" applyBorder="1" applyAlignment="1">
      <alignment horizontal="right" vertical="center"/>
    </xf>
    <xf numFmtId="177" fontId="5" fillId="21" borderId="49" xfId="0" applyNumberFormat="1" applyFont="1" applyFill="1" applyBorder="1" applyAlignment="1">
      <alignment horizontal="right" vertical="center"/>
    </xf>
    <xf numFmtId="177" fontId="5" fillId="21" borderId="48" xfId="0" applyNumberFormat="1" applyFont="1" applyFill="1" applyBorder="1" applyAlignment="1">
      <alignment horizontal="right" vertical="center"/>
    </xf>
    <xf numFmtId="10" fontId="15" fillId="21" borderId="50" xfId="0" applyNumberFormat="1" applyFont="1" applyFill="1" applyBorder="1" applyAlignment="1">
      <alignment horizontal="center" vertical="center"/>
    </xf>
    <xf numFmtId="0" fontId="12" fillId="11" borderId="55" xfId="0" applyFont="1" applyFill="1" applyBorder="1">
      <alignment vertical="center"/>
    </xf>
    <xf numFmtId="0" fontId="7" fillId="11" borderId="16" xfId="0" applyFont="1" applyFill="1" applyBorder="1">
      <alignment vertical="center"/>
    </xf>
    <xf numFmtId="177" fontId="12" fillId="0" borderId="17" xfId="0" applyNumberFormat="1" applyFont="1" applyBorder="1">
      <alignment vertical="center"/>
    </xf>
    <xf numFmtId="0" fontId="7" fillId="9" borderId="18" xfId="0" applyFont="1" applyFill="1" applyBorder="1">
      <alignment vertical="center"/>
    </xf>
    <xf numFmtId="10" fontId="14" fillId="6" borderId="17" xfId="0" applyNumberFormat="1" applyFont="1" applyFill="1" applyBorder="1" applyAlignment="1">
      <alignment horizontal="center" vertical="center"/>
    </xf>
    <xf numFmtId="10" fontId="14" fillId="7" borderId="18" xfId="0" applyNumberFormat="1" applyFont="1" applyFill="1" applyBorder="1" applyAlignment="1">
      <alignment horizontal="center" vertical="center"/>
    </xf>
    <xf numFmtId="10" fontId="14" fillId="6" borderId="18" xfId="0" applyNumberFormat="1" applyFont="1" applyFill="1" applyBorder="1" applyAlignment="1">
      <alignment horizontal="center" vertical="center"/>
    </xf>
    <xf numFmtId="0" fontId="7" fillId="17" borderId="18" xfId="0" applyFont="1" applyFill="1" applyBorder="1">
      <alignment vertical="center"/>
    </xf>
    <xf numFmtId="177" fontId="8" fillId="0" borderId="0" xfId="0" applyNumberFormat="1" applyFont="1" applyAlignment="1">
      <alignment horizontal="left" vertical="center"/>
    </xf>
    <xf numFmtId="178" fontId="7" fillId="0" borderId="0" xfId="2" applyNumberFormat="1" applyFont="1">
      <alignment vertical="center"/>
    </xf>
    <xf numFmtId="177" fontId="12" fillId="0" borderId="18" xfId="0" applyNumberFormat="1" applyFont="1" applyBorder="1" applyAlignment="1">
      <alignment horizontal="right" vertical="center"/>
    </xf>
    <xf numFmtId="0" fontId="14" fillId="12" borderId="18" xfId="0" applyFont="1" applyFill="1" applyBorder="1">
      <alignment vertical="center"/>
    </xf>
    <xf numFmtId="0" fontId="7" fillId="29" borderId="18" xfId="0" applyFont="1" applyFill="1" applyBorder="1">
      <alignment vertical="center"/>
    </xf>
    <xf numFmtId="0" fontId="7" fillId="29" borderId="16" xfId="0" applyFont="1" applyFill="1" applyBorder="1">
      <alignment vertical="center"/>
    </xf>
    <xf numFmtId="177" fontId="13" fillId="0" borderId="0" xfId="0" applyNumberFormat="1" applyFont="1">
      <alignment vertical="center"/>
    </xf>
    <xf numFmtId="0" fontId="17" fillId="9" borderId="18" xfId="0" applyFont="1" applyFill="1" applyBorder="1">
      <alignment vertical="center"/>
    </xf>
    <xf numFmtId="0" fontId="17" fillId="11" borderId="16" xfId="0" applyFont="1" applyFill="1" applyBorder="1">
      <alignment vertical="center"/>
    </xf>
    <xf numFmtId="0" fontId="7" fillId="16" borderId="18" xfId="0" applyFont="1" applyFill="1" applyBorder="1">
      <alignment vertical="center"/>
    </xf>
    <xf numFmtId="0" fontId="7" fillId="16" borderId="16" xfId="0" applyFont="1" applyFill="1" applyBorder="1">
      <alignment vertical="center"/>
    </xf>
    <xf numFmtId="0" fontId="7" fillId="26" borderId="18" xfId="0" applyFont="1" applyFill="1" applyBorder="1" applyAlignment="1">
      <alignment horizontal="center" vertical="center"/>
    </xf>
    <xf numFmtId="0" fontId="7" fillId="26" borderId="18" xfId="0" applyFont="1" applyFill="1" applyBorder="1">
      <alignment vertical="center"/>
    </xf>
    <xf numFmtId="0" fontId="7" fillId="11" borderId="51" xfId="0" applyFont="1" applyFill="1" applyBorder="1">
      <alignment vertical="center"/>
    </xf>
    <xf numFmtId="0" fontId="7" fillId="19" borderId="54" xfId="0" applyFont="1" applyFill="1" applyBorder="1" applyAlignment="1">
      <alignment horizontal="center" vertical="center"/>
    </xf>
    <xf numFmtId="177" fontId="10" fillId="0" borderId="57" xfId="0" applyNumberFormat="1" applyFont="1" applyBorder="1">
      <alignment vertical="center"/>
    </xf>
    <xf numFmtId="177" fontId="5" fillId="4" borderId="58" xfId="0" applyNumberFormat="1" applyFont="1" applyFill="1" applyBorder="1" applyAlignment="1">
      <alignment horizontal="right" vertical="center"/>
    </xf>
    <xf numFmtId="177" fontId="6" fillId="0" borderId="59" xfId="0" applyNumberFormat="1" applyFont="1" applyBorder="1">
      <alignment vertical="center"/>
    </xf>
    <xf numFmtId="0" fontId="7" fillId="19" borderId="18" xfId="0" applyFont="1" applyFill="1" applyBorder="1" applyAlignment="1">
      <alignment horizontal="center" vertical="center"/>
    </xf>
    <xf numFmtId="177" fontId="10" fillId="0" borderId="17" xfId="0" applyNumberFormat="1" applyFont="1" applyBorder="1">
      <alignment vertical="center"/>
    </xf>
    <xf numFmtId="177" fontId="8" fillId="0" borderId="35" xfId="0" applyNumberFormat="1" applyFont="1" applyBorder="1">
      <alignment vertical="center"/>
    </xf>
    <xf numFmtId="0" fontId="7" fillId="29" borderId="18" xfId="0" applyFont="1" applyFill="1" applyBorder="1" applyAlignment="1">
      <alignment horizontal="center" vertical="center"/>
    </xf>
    <xf numFmtId="177" fontId="8" fillId="0" borderId="39" xfId="0" applyNumberFormat="1" applyFont="1" applyBorder="1">
      <alignment vertical="center"/>
    </xf>
    <xf numFmtId="177" fontId="8" fillId="0" borderId="30" xfId="0" applyNumberFormat="1" applyFont="1" applyBorder="1">
      <alignment vertical="center"/>
    </xf>
    <xf numFmtId="177" fontId="5" fillId="4" borderId="33" xfId="0" applyNumberFormat="1" applyFont="1" applyFill="1" applyBorder="1" applyAlignment="1">
      <alignment horizontal="right" vertical="center"/>
    </xf>
    <xf numFmtId="177" fontId="8" fillId="29" borderId="65" xfId="0" applyNumberFormat="1" applyFont="1" applyFill="1" applyBorder="1">
      <alignment vertical="center"/>
    </xf>
    <xf numFmtId="177" fontId="8" fillId="29" borderId="64" xfId="0" applyNumberFormat="1" applyFont="1" applyFill="1" applyBorder="1">
      <alignment vertical="center"/>
    </xf>
    <xf numFmtId="177" fontId="5" fillId="29" borderId="63" xfId="0" applyNumberFormat="1" applyFont="1" applyFill="1" applyBorder="1" applyAlignment="1">
      <alignment horizontal="right" vertical="center"/>
    </xf>
    <xf numFmtId="10" fontId="11" fillId="29" borderId="23" xfId="0" applyNumberFormat="1" applyFont="1" applyFill="1" applyBorder="1" applyAlignment="1">
      <alignment horizontal="center" vertical="center"/>
    </xf>
    <xf numFmtId="10" fontId="11" fillId="29" borderId="26" xfId="0" applyNumberFormat="1" applyFont="1" applyFill="1" applyBorder="1" applyAlignment="1">
      <alignment horizontal="center" vertical="center"/>
    </xf>
    <xf numFmtId="177" fontId="5" fillId="29" borderId="28" xfId="0" applyNumberFormat="1" applyFont="1" applyFill="1" applyBorder="1" applyAlignment="1">
      <alignment horizontal="right" vertical="center"/>
    </xf>
    <xf numFmtId="10" fontId="11" fillId="29" borderId="15" xfId="0" applyNumberFormat="1" applyFont="1" applyFill="1" applyBorder="1" applyAlignment="1">
      <alignment horizontal="center" vertical="center"/>
    </xf>
    <xf numFmtId="177" fontId="5" fillId="29" borderId="42" xfId="0" applyNumberFormat="1" applyFont="1" applyFill="1" applyBorder="1" applyAlignment="1">
      <alignment horizontal="right" vertical="center"/>
    </xf>
    <xf numFmtId="177" fontId="5" fillId="29" borderId="62" xfId="0" applyNumberFormat="1" applyFont="1" applyFill="1" applyBorder="1" applyAlignment="1">
      <alignment horizontal="right" vertical="center"/>
    </xf>
    <xf numFmtId="10" fontId="13" fillId="29" borderId="28" xfId="0" applyNumberFormat="1" applyFont="1" applyFill="1" applyBorder="1" applyAlignment="1">
      <alignment horizontal="center" vertical="center"/>
    </xf>
    <xf numFmtId="177" fontId="6" fillId="0" borderId="0" xfId="0" applyNumberFormat="1" applyFont="1">
      <alignment vertical="center"/>
    </xf>
    <xf numFmtId="177" fontId="15" fillId="30" borderId="46" xfId="0" applyNumberFormat="1" applyFont="1" applyFill="1" applyBorder="1" applyAlignment="1">
      <alignment horizontal="right" vertical="center"/>
    </xf>
    <xf numFmtId="177" fontId="15" fillId="30" borderId="44" xfId="0" applyNumberFormat="1" applyFont="1" applyFill="1" applyBorder="1" applyAlignment="1">
      <alignment horizontal="right" vertical="center"/>
    </xf>
    <xf numFmtId="177" fontId="15" fillId="30" borderId="49" xfId="0" applyNumberFormat="1" applyFont="1" applyFill="1" applyBorder="1" applyAlignment="1">
      <alignment horizontal="right" vertical="center"/>
    </xf>
    <xf numFmtId="177" fontId="15" fillId="30" borderId="48" xfId="0" applyNumberFormat="1" applyFont="1" applyFill="1" applyBorder="1" applyAlignment="1">
      <alignment horizontal="right" vertical="center"/>
    </xf>
    <xf numFmtId="10" fontId="5" fillId="30" borderId="46" xfId="0" applyNumberFormat="1" applyFont="1" applyFill="1" applyBorder="1" applyAlignment="1">
      <alignment horizontal="center" vertical="center"/>
    </xf>
    <xf numFmtId="10" fontId="5" fillId="30" borderId="44" xfId="0" applyNumberFormat="1" applyFont="1" applyFill="1" applyBorder="1" applyAlignment="1">
      <alignment horizontal="center" vertical="center"/>
    </xf>
    <xf numFmtId="177" fontId="15" fillId="30" borderId="50" xfId="0" applyNumberFormat="1" applyFont="1" applyFill="1" applyBorder="1" applyAlignment="1">
      <alignment horizontal="right" vertical="center"/>
    </xf>
    <xf numFmtId="10" fontId="15" fillId="30" borderId="50" xfId="0" applyNumberFormat="1" applyFont="1" applyFill="1" applyBorder="1" applyAlignment="1">
      <alignment horizontal="center" vertical="center"/>
    </xf>
    <xf numFmtId="10" fontId="6" fillId="21" borderId="44" xfId="0" applyNumberFormat="1" applyFont="1" applyFill="1" applyBorder="1" applyAlignment="1">
      <alignment horizontal="center" vertical="center"/>
    </xf>
    <xf numFmtId="10" fontId="6" fillId="21" borderId="54" xfId="0" applyNumberFormat="1" applyFont="1" applyFill="1" applyBorder="1" applyAlignment="1">
      <alignment horizontal="center" vertical="center"/>
    </xf>
    <xf numFmtId="177" fontId="5" fillId="21" borderId="50" xfId="0" applyNumberFormat="1" applyFont="1" applyFill="1" applyBorder="1" applyAlignment="1">
      <alignment horizontal="right" vertical="center"/>
    </xf>
    <xf numFmtId="177" fontId="16" fillId="21" borderId="44" xfId="0" applyNumberFormat="1" applyFont="1" applyFill="1" applyBorder="1" applyAlignment="1">
      <alignment horizontal="right" vertical="center"/>
    </xf>
    <xf numFmtId="10" fontId="13" fillId="21" borderId="50" xfId="0" applyNumberFormat="1" applyFont="1" applyFill="1" applyBorder="1" applyAlignment="1">
      <alignment horizontal="center" vertical="center"/>
    </xf>
    <xf numFmtId="0" fontId="7" fillId="31" borderId="18" xfId="0" applyFont="1" applyFill="1" applyBorder="1" applyAlignment="1">
      <alignment horizontal="center" vertical="center"/>
    </xf>
    <xf numFmtId="177" fontId="7" fillId="23" borderId="17" xfId="0" applyNumberFormat="1" applyFont="1" applyFill="1" applyBorder="1" applyAlignment="1">
      <alignment horizontal="right" vertical="center"/>
    </xf>
    <xf numFmtId="0" fontId="13" fillId="11" borderId="16" xfId="0" applyFont="1" applyFill="1" applyBorder="1">
      <alignment vertical="center"/>
    </xf>
    <xf numFmtId="177" fontId="5" fillId="30" borderId="46" xfId="0" applyNumberFormat="1" applyFont="1" applyFill="1" applyBorder="1" applyAlignment="1">
      <alignment horizontal="right" vertical="center"/>
    </xf>
    <xf numFmtId="177" fontId="5" fillId="30" borderId="44" xfId="0" applyNumberFormat="1" applyFont="1" applyFill="1" applyBorder="1" applyAlignment="1">
      <alignment horizontal="right" vertical="center"/>
    </xf>
    <xf numFmtId="177" fontId="5" fillId="30" borderId="49" xfId="0" applyNumberFormat="1" applyFont="1" applyFill="1" applyBorder="1" applyAlignment="1">
      <alignment horizontal="right" vertical="center"/>
    </xf>
    <xf numFmtId="177" fontId="5" fillId="30" borderId="48" xfId="0" applyNumberFormat="1" applyFont="1" applyFill="1" applyBorder="1" applyAlignment="1">
      <alignment horizontal="right" vertical="center"/>
    </xf>
    <xf numFmtId="177" fontId="5" fillId="19" borderId="23" xfId="0" applyNumberFormat="1" applyFont="1" applyFill="1" applyBorder="1" applyAlignment="1">
      <alignment horizontal="right" vertical="center"/>
    </xf>
    <xf numFmtId="177" fontId="5" fillId="19" borderId="15" xfId="0" applyNumberFormat="1" applyFont="1" applyFill="1" applyBorder="1" applyAlignment="1">
      <alignment horizontal="right" vertical="center"/>
    </xf>
    <xf numFmtId="177" fontId="5" fillId="19" borderId="24" xfId="0" applyNumberFormat="1" applyFont="1" applyFill="1" applyBorder="1" applyAlignment="1">
      <alignment horizontal="right" vertical="center"/>
    </xf>
    <xf numFmtId="177" fontId="5" fillId="19" borderId="40" xfId="0" applyNumberFormat="1" applyFont="1" applyFill="1" applyBorder="1" applyAlignment="1">
      <alignment horizontal="right" vertical="center"/>
    </xf>
    <xf numFmtId="10" fontId="5" fillId="19" borderId="46" xfId="0" applyNumberFormat="1" applyFont="1" applyFill="1" applyBorder="1" applyAlignment="1">
      <alignment horizontal="center" vertical="center"/>
    </xf>
    <xf numFmtId="10" fontId="5" fillId="19" borderId="44" xfId="0" applyNumberFormat="1" applyFont="1" applyFill="1" applyBorder="1" applyAlignment="1">
      <alignment horizontal="center" vertical="center"/>
    </xf>
    <xf numFmtId="10" fontId="15" fillId="19" borderId="28" xfId="0" applyNumberFormat="1" applyFont="1" applyFill="1" applyBorder="1" applyAlignment="1">
      <alignment horizontal="center" vertical="center"/>
    </xf>
    <xf numFmtId="177" fontId="18" fillId="0" borderId="0" xfId="0" applyNumberFormat="1" applyFont="1" applyAlignment="1">
      <alignment horizontal="center" vertical="center"/>
    </xf>
    <xf numFmtId="177" fontId="16" fillId="21" borderId="47" xfId="0" applyNumberFormat="1" applyFont="1" applyFill="1" applyBorder="1" applyAlignment="1">
      <alignment horizontal="right" vertical="center"/>
    </xf>
    <xf numFmtId="177" fontId="16" fillId="21" borderId="49" xfId="0" applyNumberFormat="1" applyFont="1" applyFill="1" applyBorder="1" applyAlignment="1">
      <alignment horizontal="right" vertical="center"/>
    </xf>
    <xf numFmtId="177" fontId="16" fillId="21" borderId="48" xfId="0" applyNumberFormat="1" applyFont="1" applyFill="1" applyBorder="1" applyAlignment="1">
      <alignment horizontal="right" vertical="center"/>
    </xf>
    <xf numFmtId="10" fontId="13" fillId="21" borderId="46" xfId="0" applyNumberFormat="1" applyFont="1" applyFill="1" applyBorder="1" applyAlignment="1">
      <alignment horizontal="center" vertical="center"/>
    </xf>
    <xf numFmtId="10" fontId="13" fillId="21" borderId="44" xfId="0" applyNumberFormat="1" applyFont="1" applyFill="1" applyBorder="1" applyAlignment="1">
      <alignment horizontal="center" vertical="center"/>
    </xf>
    <xf numFmtId="179" fontId="11" fillId="32" borderId="48" xfId="0" applyNumberFormat="1" applyFont="1" applyFill="1" applyBorder="1" applyAlignment="1">
      <alignment horizontal="right" vertical="center"/>
    </xf>
    <xf numFmtId="177" fontId="19" fillId="0" borderId="0" xfId="0" applyNumberFormat="1" applyFont="1" applyAlignment="1">
      <alignment horizontal="right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76" fontId="21" fillId="0" borderId="0" xfId="0" applyNumberFormat="1" applyFont="1">
      <alignment vertical="center"/>
    </xf>
    <xf numFmtId="10" fontId="20" fillId="0" borderId="0" xfId="0" applyNumberFormat="1" applyFont="1" applyAlignment="1">
      <alignment horizontal="left" vertical="center"/>
    </xf>
    <xf numFmtId="179" fontId="9" fillId="0" borderId="0" xfId="0" applyNumberFormat="1" applyFont="1" applyAlignment="1">
      <alignment horizontal="right" vertical="center"/>
    </xf>
    <xf numFmtId="0" fontId="22" fillId="0" borderId="0" xfId="0" applyFont="1">
      <alignment vertical="center"/>
    </xf>
    <xf numFmtId="177" fontId="21" fillId="0" borderId="0" xfId="0" applyNumberFormat="1" applyFont="1">
      <alignment vertical="center"/>
    </xf>
    <xf numFmtId="177" fontId="2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77" fontId="24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10" fontId="8" fillId="0" borderId="0" xfId="0" applyNumberFormat="1" applyFont="1" applyAlignment="1">
      <alignment horizontal="left" vertical="center"/>
    </xf>
    <xf numFmtId="179" fontId="10" fillId="0" borderId="0" xfId="0" applyNumberFormat="1" applyFont="1" applyAlignment="1">
      <alignment horizontal="right" vertical="center"/>
    </xf>
    <xf numFmtId="176" fontId="22" fillId="0" borderId="0" xfId="1" applyFont="1">
      <alignment vertical="center"/>
    </xf>
    <xf numFmtId="0" fontId="10" fillId="0" borderId="0" xfId="0" applyFont="1" applyAlignment="1">
      <alignment horizontal="right" vertical="center"/>
    </xf>
    <xf numFmtId="176" fontId="10" fillId="17" borderId="0" xfId="1" applyFont="1" applyFill="1" applyAlignment="1">
      <alignment vertical="center"/>
    </xf>
    <xf numFmtId="176" fontId="10" fillId="0" borderId="0" xfId="1" applyFont="1" applyFill="1" applyAlignment="1">
      <alignment vertical="center"/>
    </xf>
    <xf numFmtId="10" fontId="8" fillId="0" borderId="0" xfId="0" applyNumberFormat="1" applyFont="1" applyAlignment="1">
      <alignment horizontal="center" vertical="center"/>
    </xf>
    <xf numFmtId="176" fontId="25" fillId="0" borderId="0" xfId="1" applyFont="1" applyFill="1" applyAlignment="1">
      <alignment horizontal="right" vertical="center"/>
    </xf>
    <xf numFmtId="176" fontId="10" fillId="0" borderId="0" xfId="1" applyFont="1" applyAlignment="1">
      <alignment vertical="center"/>
    </xf>
    <xf numFmtId="176" fontId="7" fillId="0" borderId="0" xfId="1" applyFont="1" applyFill="1" applyAlignme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177" fontId="7" fillId="14" borderId="0" xfId="1" applyNumberFormat="1" applyFont="1" applyFill="1">
      <alignment vertical="center"/>
    </xf>
    <xf numFmtId="176" fontId="7" fillId="14" borderId="0" xfId="1" applyFont="1" applyFill="1">
      <alignment vertical="center"/>
    </xf>
    <xf numFmtId="10" fontId="7" fillId="0" borderId="0" xfId="0" applyNumberFormat="1" applyFont="1" applyAlignment="1">
      <alignment horizontal="center" vertical="center"/>
    </xf>
    <xf numFmtId="176" fontId="7" fillId="0" borderId="0" xfId="1" applyFont="1">
      <alignment vertical="center"/>
    </xf>
    <xf numFmtId="0" fontId="10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0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10" borderId="18" xfId="0" applyFont="1" applyFill="1" applyBorder="1" applyAlignment="1">
      <alignment horizontal="center" vertical="center" wrapText="1"/>
    </xf>
    <xf numFmtId="0" fontId="5" fillId="10" borderId="18" xfId="0" applyFont="1" applyFill="1" applyBorder="1" applyAlignment="1">
      <alignment horizontal="center" vertical="center"/>
    </xf>
    <xf numFmtId="0" fontId="7" fillId="11" borderId="18" xfId="0" applyFont="1" applyFill="1" applyBorder="1">
      <alignment vertical="center"/>
    </xf>
    <xf numFmtId="177" fontId="17" fillId="0" borderId="18" xfId="0" applyNumberFormat="1" applyFont="1" applyBorder="1" applyAlignment="1">
      <alignment horizontal="right" vertical="center"/>
    </xf>
    <xf numFmtId="177" fontId="5" fillId="10" borderId="18" xfId="0" applyNumberFormat="1" applyFont="1" applyFill="1" applyBorder="1" applyAlignment="1">
      <alignment horizontal="right" vertical="center"/>
    </xf>
    <xf numFmtId="177" fontId="5" fillId="33" borderId="18" xfId="0" applyNumberFormat="1" applyFont="1" applyFill="1" applyBorder="1" applyAlignment="1">
      <alignment horizontal="right" vertical="center"/>
    </xf>
    <xf numFmtId="177" fontId="5" fillId="22" borderId="18" xfId="0" applyNumberFormat="1" applyFont="1" applyFill="1" applyBorder="1" applyAlignment="1">
      <alignment horizontal="right" vertical="center"/>
    </xf>
    <xf numFmtId="177" fontId="5" fillId="22" borderId="19" xfId="0" applyNumberFormat="1" applyFont="1" applyFill="1" applyBorder="1" applyAlignment="1">
      <alignment horizontal="right" vertical="center"/>
    </xf>
    <xf numFmtId="177" fontId="5" fillId="22" borderId="48" xfId="0" applyNumberFormat="1" applyFont="1" applyFill="1" applyBorder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1" fillId="8" borderId="5" xfId="0" applyFont="1" applyFill="1" applyBorder="1" applyAlignment="1">
      <alignment horizontal="center" vertical="center"/>
    </xf>
    <xf numFmtId="0" fontId="7" fillId="23" borderId="18" xfId="0" applyFont="1" applyFill="1" applyBorder="1" applyAlignment="1">
      <alignment horizontal="center" vertical="center"/>
    </xf>
    <xf numFmtId="0" fontId="12" fillId="23" borderId="16" xfId="0" applyFont="1" applyFill="1" applyBorder="1">
      <alignment vertical="center"/>
    </xf>
    <xf numFmtId="177" fontId="5" fillId="29" borderId="73" xfId="0" applyNumberFormat="1" applyFont="1" applyFill="1" applyBorder="1" applyAlignment="1">
      <alignment horizontal="right" vertical="center"/>
    </xf>
    <xf numFmtId="0" fontId="7" fillId="9" borderId="15" xfId="0" applyFont="1" applyFill="1" applyBorder="1">
      <alignment vertical="center"/>
    </xf>
    <xf numFmtId="10" fontId="11" fillId="0" borderId="0" xfId="0" applyNumberFormat="1" applyFont="1" applyAlignment="1">
      <alignment horizontal="center" vertical="center"/>
    </xf>
    <xf numFmtId="0" fontId="7" fillId="17" borderId="16" xfId="0" applyFont="1" applyFill="1" applyBorder="1">
      <alignment vertical="center"/>
    </xf>
    <xf numFmtId="0" fontId="27" fillId="0" borderId="0" xfId="0" applyFont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177" fontId="27" fillId="0" borderId="0" xfId="0" applyNumberFormat="1" applyFont="1">
      <alignment vertical="center"/>
    </xf>
    <xf numFmtId="0" fontId="27" fillId="0" borderId="0" xfId="0" applyFont="1">
      <alignment vertical="center"/>
    </xf>
    <xf numFmtId="10" fontId="9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9" fontId="25" fillId="0" borderId="0" xfId="0" applyNumberFormat="1" applyFont="1">
      <alignment vertical="center"/>
    </xf>
    <xf numFmtId="10" fontId="24" fillId="0" borderId="0" xfId="0" applyNumberFormat="1" applyFont="1" applyAlignment="1">
      <alignment horizontal="left" vertical="center"/>
    </xf>
    <xf numFmtId="176" fontId="28" fillId="0" borderId="0" xfId="1" applyFont="1">
      <alignment vertical="center"/>
    </xf>
    <xf numFmtId="38" fontId="20" fillId="0" borderId="0" xfId="0" applyNumberFormat="1" applyFont="1">
      <alignment vertical="center"/>
    </xf>
    <xf numFmtId="10" fontId="20" fillId="0" borderId="0" xfId="0" applyNumberFormat="1" applyFont="1" applyAlignment="1">
      <alignment horizontal="center" vertical="center"/>
    </xf>
    <xf numFmtId="0" fontId="29" fillId="14" borderId="0" xfId="0" applyFont="1" applyFill="1">
      <alignment vertical="center"/>
    </xf>
    <xf numFmtId="0" fontId="20" fillId="14" borderId="0" xfId="0" applyFont="1" applyFill="1">
      <alignment vertical="center"/>
    </xf>
    <xf numFmtId="0" fontId="20" fillId="0" borderId="0" xfId="0" applyFont="1" applyAlignment="1">
      <alignment horizontal="left" vertical="center"/>
    </xf>
    <xf numFmtId="0" fontId="49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6" fillId="35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0" borderId="13" xfId="0" applyFont="1" applyBorder="1">
      <alignment vertical="center"/>
    </xf>
    <xf numFmtId="10" fontId="16" fillId="35" borderId="13" xfId="0" applyNumberFormat="1" applyFont="1" applyFill="1" applyBorder="1" applyAlignment="1">
      <alignment horizontal="center" vertical="center"/>
    </xf>
    <xf numFmtId="177" fontId="7" fillId="10" borderId="13" xfId="0" applyNumberFormat="1" applyFont="1" applyFill="1" applyBorder="1" applyAlignment="1">
      <alignment horizontal="right" vertical="center"/>
    </xf>
    <xf numFmtId="10" fontId="5" fillId="35" borderId="13" xfId="0" applyNumberFormat="1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177" fontId="5" fillId="5" borderId="13" xfId="0" applyNumberFormat="1" applyFont="1" applyFill="1" applyBorder="1" applyAlignment="1">
      <alignment horizontal="right" vertical="center"/>
    </xf>
    <xf numFmtId="177" fontId="10" fillId="0" borderId="0" xfId="0" applyNumberFormat="1" applyFont="1" applyAlignment="1">
      <alignment horizontal="left" vertical="center"/>
    </xf>
    <xf numFmtId="0" fontId="12" fillId="0" borderId="18" xfId="0" applyFont="1" applyBorder="1">
      <alignment vertical="center"/>
    </xf>
    <xf numFmtId="10" fontId="16" fillId="35" borderId="18" xfId="0" applyNumberFormat="1" applyFont="1" applyFill="1" applyBorder="1" applyAlignment="1">
      <alignment horizontal="center" vertical="center"/>
    </xf>
    <xf numFmtId="10" fontId="5" fillId="35" borderId="18" xfId="0" applyNumberFormat="1" applyFont="1" applyFill="1" applyBorder="1" applyAlignment="1">
      <alignment horizontal="center" vertical="center"/>
    </xf>
    <xf numFmtId="177" fontId="14" fillId="12" borderId="18" xfId="0" applyNumberFormat="1" applyFont="1" applyFill="1" applyBorder="1" applyAlignment="1">
      <alignment horizontal="right" vertical="center"/>
    </xf>
    <xf numFmtId="0" fontId="5" fillId="13" borderId="18" xfId="0" applyFont="1" applyFill="1" applyBorder="1" applyAlignment="1">
      <alignment horizontal="center" vertical="center"/>
    </xf>
    <xf numFmtId="177" fontId="5" fillId="13" borderId="18" xfId="0" applyNumberFormat="1" applyFont="1" applyFill="1" applyBorder="1" applyAlignment="1">
      <alignment horizontal="right" vertical="center"/>
    </xf>
    <xf numFmtId="10" fontId="6" fillId="13" borderId="18" xfId="0" applyNumberFormat="1" applyFont="1" applyFill="1" applyBorder="1" applyAlignment="1">
      <alignment horizontal="center" vertical="center"/>
    </xf>
    <xf numFmtId="10" fontId="5" fillId="13" borderId="18" xfId="0" applyNumberFormat="1" applyFont="1" applyFill="1" applyBorder="1" applyAlignment="1">
      <alignment horizontal="center" vertical="center"/>
    </xf>
    <xf numFmtId="176" fontId="5" fillId="13" borderId="18" xfId="1" applyFont="1" applyFill="1" applyBorder="1" applyAlignment="1">
      <alignment horizontal="right" vertical="center"/>
    </xf>
    <xf numFmtId="176" fontId="16" fillId="13" borderId="18" xfId="1" applyFont="1" applyFill="1" applyBorder="1" applyAlignment="1">
      <alignment horizontal="right" vertical="center"/>
    </xf>
    <xf numFmtId="177" fontId="7" fillId="14" borderId="18" xfId="0" applyNumberFormat="1" applyFont="1" applyFill="1" applyBorder="1" applyAlignment="1">
      <alignment horizontal="right" vertical="center"/>
    </xf>
    <xf numFmtId="176" fontId="5" fillId="0" borderId="18" xfId="1" applyFont="1" applyFill="1" applyBorder="1" applyAlignment="1">
      <alignment horizontal="right" vertical="center"/>
    </xf>
    <xf numFmtId="176" fontId="16" fillId="0" borderId="18" xfId="1" applyFont="1" applyFill="1" applyBorder="1" applyAlignment="1">
      <alignment horizontal="right" vertical="center"/>
    </xf>
    <xf numFmtId="177" fontId="5" fillId="13" borderId="17" xfId="0" applyNumberFormat="1" applyFont="1" applyFill="1" applyBorder="1" applyAlignment="1">
      <alignment horizontal="right" vertical="center"/>
    </xf>
    <xf numFmtId="177" fontId="5" fillId="16" borderId="18" xfId="0" applyNumberFormat="1" applyFont="1" applyFill="1" applyBorder="1" applyAlignment="1">
      <alignment horizontal="right" vertical="center"/>
    </xf>
    <xf numFmtId="177" fontId="16" fillId="16" borderId="18" xfId="0" applyNumberFormat="1" applyFont="1" applyFill="1" applyBorder="1" applyAlignment="1">
      <alignment horizontal="right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>
      <alignment vertical="center"/>
    </xf>
    <xf numFmtId="10" fontId="6" fillId="35" borderId="18" xfId="0" applyNumberFormat="1" applyFont="1" applyFill="1" applyBorder="1" applyAlignment="1">
      <alignment horizontal="center" vertical="center"/>
    </xf>
    <xf numFmtId="0" fontId="0" fillId="33" borderId="18" xfId="0" applyFill="1" applyBorder="1">
      <alignment vertical="center"/>
    </xf>
    <xf numFmtId="0" fontId="12" fillId="33" borderId="18" xfId="0" applyFont="1" applyFill="1" applyBorder="1">
      <alignment vertical="center"/>
    </xf>
    <xf numFmtId="177" fontId="7" fillId="33" borderId="18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77" fontId="49" fillId="0" borderId="0" xfId="0" applyNumberFormat="1" applyFont="1">
      <alignment vertical="center"/>
    </xf>
    <xf numFmtId="177" fontId="9" fillId="0" borderId="0" xfId="0" applyNumberFormat="1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180" fontId="53" fillId="36" borderId="54" xfId="0" applyNumberFormat="1" applyFont="1" applyFill="1" applyBorder="1" applyAlignment="1">
      <alignment horizontal="center" vertical="center"/>
    </xf>
    <xf numFmtId="0" fontId="53" fillId="36" borderId="54" xfId="0" applyFont="1" applyFill="1" applyBorder="1" applyAlignment="1">
      <alignment horizontal="center" vertical="center"/>
    </xf>
    <xf numFmtId="0" fontId="53" fillId="36" borderId="55" xfId="0" applyFont="1" applyFill="1" applyBorder="1" applyAlignment="1">
      <alignment horizontal="center" vertical="center"/>
    </xf>
    <xf numFmtId="180" fontId="53" fillId="0" borderId="35" xfId="0" applyNumberFormat="1" applyFont="1" applyBorder="1" applyAlignment="1">
      <alignment horizontal="center" vertical="center"/>
    </xf>
    <xf numFmtId="3" fontId="53" fillId="0" borderId="13" xfId="0" applyNumberFormat="1" applyFont="1" applyBorder="1" applyAlignment="1">
      <alignment horizontal="right" vertical="center"/>
    </xf>
    <xf numFmtId="0" fontId="9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9" fillId="0" borderId="0" xfId="3" applyFont="1" applyAlignment="1" applyProtection="1">
      <alignment vertical="center"/>
    </xf>
    <xf numFmtId="0" fontId="61" fillId="0" borderId="0" xfId="3" applyFont="1" applyAlignment="1" applyProtection="1">
      <alignment vertical="center"/>
    </xf>
    <xf numFmtId="0" fontId="61" fillId="0" borderId="59" xfId="3" applyFont="1" applyBorder="1" applyAlignment="1" applyProtection="1">
      <alignment vertical="center"/>
    </xf>
    <xf numFmtId="49" fontId="61" fillId="0" borderId="77" xfId="3" applyNumberFormat="1" applyFont="1" applyBorder="1" applyAlignment="1" applyProtection="1">
      <alignment vertical="center"/>
    </xf>
    <xf numFmtId="0" fontId="54" fillId="0" borderId="18" xfId="3" applyFont="1" applyBorder="1" applyAlignment="1" applyProtection="1">
      <alignment horizontal="center" vertical="center"/>
    </xf>
    <xf numFmtId="0" fontId="54" fillId="38" borderId="18" xfId="3" applyFont="1" applyFill="1" applyBorder="1" applyAlignment="1" applyProtection="1">
      <alignment horizontal="center" vertical="center"/>
    </xf>
    <xf numFmtId="0" fontId="54" fillId="38" borderId="19" xfId="3" applyFont="1" applyFill="1" applyBorder="1" applyAlignment="1" applyProtection="1">
      <alignment horizontal="center" vertical="center"/>
    </xf>
    <xf numFmtId="0" fontId="54" fillId="38" borderId="60" xfId="3" applyFont="1" applyFill="1" applyBorder="1" applyAlignment="1" applyProtection="1">
      <alignment horizontal="center" vertical="center"/>
    </xf>
    <xf numFmtId="0" fontId="54" fillId="0" borderId="0" xfId="3" applyFont="1" applyAlignment="1" applyProtection="1">
      <alignment vertical="center"/>
    </xf>
    <xf numFmtId="176" fontId="55" fillId="0" borderId="18" xfId="4" applyFont="1" applyBorder="1" applyAlignment="1" applyProtection="1">
      <alignment vertical="center"/>
    </xf>
    <xf numFmtId="176" fontId="55" fillId="9" borderId="18" xfId="4" applyFont="1" applyFill="1" applyBorder="1" applyAlignment="1" applyProtection="1">
      <alignment vertical="center"/>
    </xf>
    <xf numFmtId="176" fontId="55" fillId="0" borderId="19" xfId="4" applyFont="1" applyBorder="1" applyAlignment="1" applyProtection="1">
      <alignment vertical="center"/>
    </xf>
    <xf numFmtId="176" fontId="56" fillId="11" borderId="18" xfId="3" applyNumberFormat="1" applyFont="1" applyFill="1" applyBorder="1" applyAlignment="1" applyProtection="1">
      <alignment vertical="center"/>
    </xf>
    <xf numFmtId="0" fontId="54" fillId="34" borderId="18" xfId="3" applyFont="1" applyFill="1" applyBorder="1" applyAlignment="1" applyProtection="1">
      <alignment vertical="center"/>
    </xf>
    <xf numFmtId="176" fontId="54" fillId="34" borderId="18" xfId="3" applyNumberFormat="1" applyFont="1" applyFill="1" applyBorder="1" applyAlignment="1" applyProtection="1">
      <alignment vertical="center"/>
    </xf>
    <xf numFmtId="176" fontId="54" fillId="34" borderId="19" xfId="3" applyNumberFormat="1" applyFont="1" applyFill="1" applyBorder="1" applyAlignment="1" applyProtection="1">
      <alignment vertical="center"/>
    </xf>
    <xf numFmtId="176" fontId="54" fillId="34" borderId="60" xfId="3" applyNumberFormat="1" applyFont="1" applyFill="1" applyBorder="1" applyAlignment="1" applyProtection="1">
      <alignment vertical="center"/>
    </xf>
    <xf numFmtId="176" fontId="59" fillId="39" borderId="18" xfId="3" applyNumberFormat="1" applyFont="1" applyFill="1" applyBorder="1" applyAlignment="1" applyProtection="1">
      <alignment vertical="center"/>
    </xf>
    <xf numFmtId="0" fontId="54" fillId="0" borderId="59" xfId="3" applyFont="1" applyBorder="1" applyAlignment="1" applyProtection="1">
      <alignment vertical="center"/>
    </xf>
    <xf numFmtId="177" fontId="54" fillId="0" borderId="0" xfId="3" applyNumberFormat="1" applyFont="1" applyAlignment="1" applyProtection="1">
      <alignment vertical="center"/>
    </xf>
    <xf numFmtId="177" fontId="61" fillId="0" borderId="0" xfId="3" applyNumberFormat="1" applyFont="1" applyAlignment="1" applyProtection="1">
      <alignment vertical="center"/>
    </xf>
    <xf numFmtId="177" fontId="62" fillId="0" borderId="0" xfId="3" applyNumberFormat="1" applyFont="1" applyAlignment="1" applyProtection="1">
      <alignment vertical="center"/>
    </xf>
    <xf numFmtId="177" fontId="63" fillId="0" borderId="0" xfId="3" applyNumberFormat="1" applyFont="1" applyAlignment="1" applyProtection="1">
      <alignment vertical="center"/>
    </xf>
    <xf numFmtId="176" fontId="64" fillId="40" borderId="78" xfId="4" applyFont="1" applyFill="1" applyBorder="1" applyAlignment="1">
      <alignment horizontal="center" vertical="center"/>
      <protection locked="0"/>
    </xf>
    <xf numFmtId="176" fontId="64" fillId="15" borderId="78" xfId="4" applyFont="1" applyFill="1" applyBorder="1" applyAlignment="1">
      <alignment horizontal="center" vertical="center"/>
      <protection locked="0"/>
    </xf>
    <xf numFmtId="0" fontId="64" fillId="0" borderId="0" xfId="3" applyFont="1" applyAlignment="1">
      <alignment horizontal="center" vertical="center"/>
      <protection locked="0"/>
    </xf>
    <xf numFmtId="0" fontId="64" fillId="0" borderId="0" xfId="3" applyFont="1" applyAlignment="1">
      <alignment horizontal="center" vertical="center" wrapText="1"/>
      <protection locked="0"/>
    </xf>
    <xf numFmtId="38" fontId="64" fillId="0" borderId="78" xfId="3" applyNumberFormat="1" applyFont="1" applyBorder="1" applyAlignment="1">
      <alignment horizontal="center" vertical="center"/>
      <protection locked="0"/>
    </xf>
    <xf numFmtId="0" fontId="64" fillId="10" borderId="78" xfId="3" applyFont="1" applyFill="1" applyBorder="1" applyAlignment="1">
      <alignment horizontal="center" vertical="center"/>
      <protection locked="0"/>
    </xf>
    <xf numFmtId="0" fontId="64" fillId="0" borderId="78" xfId="3" applyFont="1" applyBorder="1" applyAlignment="1">
      <alignment horizontal="center" vertical="center"/>
      <protection locked="0"/>
    </xf>
    <xf numFmtId="0" fontId="64" fillId="0" borderId="78" xfId="3" applyFont="1" applyBorder="1" applyAlignment="1">
      <alignment horizontal="left" vertical="center" indent="1"/>
      <protection locked="0"/>
    </xf>
    <xf numFmtId="176" fontId="64" fillId="0" borderId="78" xfId="4" applyFont="1" applyBorder="1" applyAlignment="1">
      <alignment horizontal="right" vertical="center"/>
      <protection locked="0"/>
    </xf>
    <xf numFmtId="38" fontId="64" fillId="15" borderId="78" xfId="4" applyNumberFormat="1" applyFont="1" applyFill="1" applyBorder="1" applyAlignment="1">
      <alignment horizontal="right" vertical="center"/>
      <protection locked="0"/>
    </xf>
    <xf numFmtId="38" fontId="64" fillId="0" borderId="78" xfId="4" applyNumberFormat="1" applyFont="1" applyBorder="1" applyAlignment="1">
      <alignment horizontal="right" vertical="center"/>
      <protection locked="0"/>
    </xf>
    <xf numFmtId="0" fontId="64" fillId="0" borderId="0" xfId="3" applyFont="1" applyAlignment="1">
      <alignment horizontal="left" vertical="top"/>
      <protection locked="0"/>
    </xf>
    <xf numFmtId="176" fontId="64" fillId="0" borderId="78" xfId="4" applyFont="1" applyBorder="1" applyAlignment="1">
      <alignment horizontal="left" vertical="top"/>
      <protection locked="0"/>
    </xf>
    <xf numFmtId="181" fontId="64" fillId="0" borderId="78" xfId="3" applyNumberFormat="1" applyFont="1" applyBorder="1" applyAlignment="1">
      <alignment horizontal="center" vertical="center"/>
      <protection locked="0"/>
    </xf>
    <xf numFmtId="38" fontId="64" fillId="15" borderId="78" xfId="4" applyNumberFormat="1" applyFont="1" applyFill="1" applyBorder="1" applyAlignment="1">
      <alignment vertical="top"/>
      <protection locked="0"/>
    </xf>
    <xf numFmtId="38" fontId="64" fillId="15" borderId="78" xfId="4" applyNumberFormat="1" applyFont="1" applyFill="1" applyBorder="1" applyAlignment="1">
      <alignment vertical="center"/>
      <protection locked="0"/>
    </xf>
    <xf numFmtId="181" fontId="64" fillId="0" borderId="0" xfId="3" applyNumberFormat="1" applyFont="1" applyAlignment="1">
      <alignment horizontal="center" vertical="center"/>
      <protection locked="0"/>
    </xf>
    <xf numFmtId="0" fontId="64" fillId="0" borderId="0" xfId="3" applyFont="1" applyAlignment="1">
      <alignment horizontal="left" vertical="center"/>
      <protection locked="0"/>
    </xf>
    <xf numFmtId="176" fontId="64" fillId="0" borderId="0" xfId="4" applyFont="1" applyBorder="1" applyAlignment="1">
      <alignment horizontal="right" vertical="center"/>
      <protection locked="0"/>
    </xf>
    <xf numFmtId="176" fontId="64" fillId="0" borderId="0" xfId="4" applyFont="1" applyAlignment="1">
      <alignment horizontal="right" vertical="center"/>
      <protection locked="0"/>
    </xf>
    <xf numFmtId="176" fontId="64" fillId="0" borderId="0" xfId="4" applyFont="1" applyAlignment="1">
      <alignment vertical="center"/>
      <protection locked="0"/>
    </xf>
    <xf numFmtId="0" fontId="66" fillId="0" borderId="0" xfId="5" applyFont="1" applyAlignment="1">
      <alignment vertical="center"/>
    </xf>
    <xf numFmtId="0" fontId="68" fillId="0" borderId="0" xfId="5" applyFont="1"/>
    <xf numFmtId="176" fontId="68" fillId="0" borderId="0" xfId="6" applyFont="1" applyFill="1" applyBorder="1" applyAlignment="1" applyProtection="1"/>
    <xf numFmtId="0" fontId="69" fillId="0" borderId="0" xfId="5" applyFont="1" applyAlignment="1">
      <alignment horizontal="center"/>
    </xf>
    <xf numFmtId="0" fontId="71" fillId="20" borderId="79" xfId="5" applyFont="1" applyFill="1" applyBorder="1" applyAlignment="1">
      <alignment horizontal="center" vertical="center" wrapText="1"/>
    </xf>
    <xf numFmtId="0" fontId="71" fillId="20" borderId="80" xfId="5" applyFont="1" applyFill="1" applyBorder="1" applyAlignment="1">
      <alignment horizontal="center" vertical="center" wrapText="1"/>
    </xf>
    <xf numFmtId="0" fontId="71" fillId="21" borderId="81" xfId="5" applyFont="1" applyFill="1" applyBorder="1" applyAlignment="1">
      <alignment horizontal="center" vertical="center" wrapText="1"/>
    </xf>
    <xf numFmtId="0" fontId="71" fillId="20" borderId="82" xfId="5" applyFont="1" applyFill="1" applyBorder="1" applyAlignment="1">
      <alignment horizontal="center" vertical="center" wrapText="1"/>
    </xf>
    <xf numFmtId="0" fontId="72" fillId="21" borderId="48" xfId="5" applyFont="1" applyFill="1" applyBorder="1" applyAlignment="1">
      <alignment horizontal="center" vertical="center"/>
    </xf>
    <xf numFmtId="176" fontId="68" fillId="0" borderId="0" xfId="6" applyFont="1" applyFill="1" applyBorder="1" applyAlignment="1" applyProtection="1">
      <alignment vertical="center" wrapText="1"/>
    </xf>
    <xf numFmtId="0" fontId="71" fillId="41" borderId="79" xfId="5" applyFont="1" applyFill="1" applyBorder="1" applyAlignment="1">
      <alignment horizontal="center" vertical="center" wrapText="1"/>
    </xf>
    <xf numFmtId="0" fontId="71" fillId="41" borderId="79" xfId="5" applyFont="1" applyFill="1" applyBorder="1" applyAlignment="1">
      <alignment vertical="center"/>
    </xf>
    <xf numFmtId="3" fontId="71" fillId="41" borderId="80" xfId="5" applyNumberFormat="1" applyFont="1" applyFill="1" applyBorder="1" applyAlignment="1">
      <alignment horizontal="right" vertical="center"/>
    </xf>
    <xf numFmtId="3" fontId="71" fillId="23" borderId="83" xfId="5" applyNumberFormat="1" applyFont="1" applyFill="1" applyBorder="1" applyAlignment="1">
      <alignment horizontal="right" vertical="center"/>
    </xf>
    <xf numFmtId="3" fontId="71" fillId="41" borderId="79" xfId="5" applyNumberFormat="1" applyFont="1" applyFill="1" applyBorder="1" applyAlignment="1">
      <alignment horizontal="right" vertical="center"/>
    </xf>
    <xf numFmtId="3" fontId="72" fillId="16" borderId="0" xfId="5" applyNumberFormat="1" applyFont="1" applyFill="1" applyAlignment="1">
      <alignment horizontal="right"/>
    </xf>
    <xf numFmtId="3" fontId="71" fillId="42" borderId="86" xfId="5" applyNumberFormat="1" applyFont="1" applyFill="1" applyBorder="1" applyAlignment="1">
      <alignment horizontal="right" vertical="center"/>
    </xf>
    <xf numFmtId="3" fontId="74" fillId="42" borderId="87" xfId="5" applyNumberFormat="1" applyFont="1" applyFill="1" applyBorder="1" applyAlignment="1">
      <alignment horizontal="right" vertical="center"/>
    </xf>
    <xf numFmtId="3" fontId="71" fillId="42" borderId="88" xfId="5" applyNumberFormat="1" applyFont="1" applyFill="1" applyBorder="1" applyAlignment="1">
      <alignment horizontal="right" vertical="center"/>
    </xf>
    <xf numFmtId="3" fontId="74" fillId="42" borderId="88" xfId="5" applyNumberFormat="1" applyFont="1" applyFill="1" applyBorder="1" applyAlignment="1">
      <alignment horizontal="right" vertical="center"/>
    </xf>
    <xf numFmtId="3" fontId="63" fillId="0" borderId="0" xfId="5" applyNumberFormat="1" applyFont="1" applyAlignment="1">
      <alignment horizontal="right" vertical="center"/>
    </xf>
    <xf numFmtId="0" fontId="71" fillId="27" borderId="79" xfId="5" applyFont="1" applyFill="1" applyBorder="1" applyAlignment="1">
      <alignment horizontal="center" vertical="center" wrapText="1"/>
    </xf>
    <xf numFmtId="0" fontId="74" fillId="27" borderId="79" xfId="5" applyFont="1" applyFill="1" applyBorder="1" applyAlignment="1">
      <alignment vertical="center"/>
    </xf>
    <xf numFmtId="3" fontId="71" fillId="27" borderId="80" xfId="5" applyNumberFormat="1" applyFont="1" applyFill="1" applyBorder="1" applyAlignment="1">
      <alignment horizontal="right" vertical="center"/>
    </xf>
    <xf numFmtId="3" fontId="71" fillId="27" borderId="79" xfId="5" applyNumberFormat="1" applyFont="1" applyFill="1" applyBorder="1" applyAlignment="1">
      <alignment horizontal="right" vertical="center"/>
    </xf>
    <xf numFmtId="3" fontId="61" fillId="27" borderId="0" xfId="5" applyNumberFormat="1" applyFont="1" applyFill="1" applyAlignment="1">
      <alignment horizontal="right"/>
    </xf>
    <xf numFmtId="0" fontId="75" fillId="0" borderId="0" xfId="5" applyFont="1"/>
    <xf numFmtId="3" fontId="74" fillId="42" borderId="89" xfId="5" applyNumberFormat="1" applyFont="1" applyFill="1" applyBorder="1" applyAlignment="1">
      <alignment horizontal="right" vertical="center"/>
    </xf>
    <xf numFmtId="3" fontId="74" fillId="42" borderId="86" xfId="5" applyNumberFormat="1" applyFont="1" applyFill="1" applyBorder="1" applyAlignment="1">
      <alignment horizontal="right" vertical="center"/>
    </xf>
    <xf numFmtId="3" fontId="74" fillId="21" borderId="90" xfId="5" applyNumberFormat="1" applyFont="1" applyFill="1" applyBorder="1" applyAlignment="1">
      <alignment horizontal="right" vertical="center"/>
    </xf>
    <xf numFmtId="3" fontId="74" fillId="42" borderId="84" xfId="5" applyNumberFormat="1" applyFont="1" applyFill="1" applyBorder="1" applyAlignment="1">
      <alignment horizontal="right" vertical="center"/>
    </xf>
    <xf numFmtId="3" fontId="72" fillId="21" borderId="48" xfId="5" applyNumberFormat="1" applyFont="1" applyFill="1" applyBorder="1" applyAlignment="1">
      <alignment horizontal="right"/>
    </xf>
    <xf numFmtId="0" fontId="76" fillId="0" borderId="0" xfId="5" applyFont="1"/>
    <xf numFmtId="177" fontId="7" fillId="37" borderId="35" xfId="0" applyNumberFormat="1" applyFont="1" applyFill="1" applyBorder="1" applyAlignment="1">
      <alignment horizontal="right" vertical="center"/>
    </xf>
    <xf numFmtId="177" fontId="12" fillId="37" borderId="17" xfId="0" applyNumberFormat="1" applyFont="1" applyFill="1" applyBorder="1" applyAlignment="1">
      <alignment horizontal="right" vertical="center"/>
    </xf>
    <xf numFmtId="177" fontId="12" fillId="37" borderId="17" xfId="0" applyNumberFormat="1" applyFont="1" applyFill="1" applyBorder="1">
      <alignment vertical="center"/>
    </xf>
    <xf numFmtId="177" fontId="12" fillId="37" borderId="35" xfId="0" applyNumberFormat="1" applyFont="1" applyFill="1" applyBorder="1" applyAlignment="1">
      <alignment horizontal="right" vertical="center"/>
    </xf>
    <xf numFmtId="10" fontId="16" fillId="7" borderId="18" xfId="0" applyNumberFormat="1" applyFont="1" applyFill="1" applyBorder="1" applyAlignment="1">
      <alignment horizontal="center" vertical="center"/>
    </xf>
    <xf numFmtId="177" fontId="16" fillId="4" borderId="20" xfId="0" applyNumberFormat="1" applyFont="1" applyFill="1" applyBorder="1" applyAlignment="1">
      <alignment horizontal="right" vertical="center"/>
    </xf>
    <xf numFmtId="10" fontId="16" fillId="6" borderId="17" xfId="0" applyNumberFormat="1" applyFont="1" applyFill="1" applyBorder="1" applyAlignment="1">
      <alignment horizontal="center" vertical="center"/>
    </xf>
    <xf numFmtId="177" fontId="16" fillId="4" borderId="37" xfId="0" applyNumberFormat="1" applyFont="1" applyFill="1" applyBorder="1" applyAlignment="1">
      <alignment horizontal="right" vertical="center"/>
    </xf>
    <xf numFmtId="10" fontId="16" fillId="7" borderId="13" xfId="0" applyNumberFormat="1" applyFont="1" applyFill="1" applyBorder="1" applyAlignment="1">
      <alignment horizontal="center" vertical="center"/>
    </xf>
    <xf numFmtId="10" fontId="16" fillId="6" borderId="35" xfId="0" applyNumberFormat="1" applyFont="1" applyFill="1" applyBorder="1" applyAlignment="1">
      <alignment horizontal="center" vertical="center"/>
    </xf>
    <xf numFmtId="177" fontId="10" fillId="0" borderId="0" xfId="0" applyNumberFormat="1" applyFont="1" applyAlignment="1">
      <alignment vertical="center" wrapText="1"/>
    </xf>
    <xf numFmtId="0" fontId="10" fillId="17" borderId="18" xfId="0" applyFont="1" applyFill="1" applyBorder="1">
      <alignment vertical="center"/>
    </xf>
    <xf numFmtId="10" fontId="13" fillId="0" borderId="0" xfId="0" applyNumberFormat="1" applyFont="1" applyAlignment="1">
      <alignment horizontal="center" vertical="center"/>
    </xf>
    <xf numFmtId="177" fontId="13" fillId="5" borderId="37" xfId="0" applyNumberFormat="1" applyFont="1" applyFill="1" applyBorder="1" applyAlignment="1">
      <alignment horizontal="right" vertical="center"/>
    </xf>
    <xf numFmtId="177" fontId="26" fillId="0" borderId="17" xfId="0" applyNumberFormat="1" applyFont="1" applyBorder="1">
      <alignment vertical="center"/>
    </xf>
    <xf numFmtId="177" fontId="26" fillId="0" borderId="19" xfId="0" applyNumberFormat="1" applyFont="1" applyBorder="1">
      <alignment vertical="center"/>
    </xf>
    <xf numFmtId="177" fontId="10" fillId="0" borderId="17" xfId="0" applyNumberFormat="1" applyFont="1" applyBorder="1" applyAlignment="1">
      <alignment horizontal="right" vertical="center"/>
    </xf>
    <xf numFmtId="177" fontId="10" fillId="0" borderId="19" xfId="0" applyNumberFormat="1" applyFont="1" applyBorder="1" applyAlignment="1">
      <alignment horizontal="right" vertical="center"/>
    </xf>
    <xf numFmtId="0" fontId="5" fillId="2" borderId="0" xfId="0" applyFont="1" applyFill="1">
      <alignment vertical="center"/>
    </xf>
    <xf numFmtId="0" fontId="5" fillId="33" borderId="18" xfId="0" applyFont="1" applyFill="1" applyBorder="1">
      <alignment vertical="center"/>
    </xf>
    <xf numFmtId="3" fontId="53" fillId="15" borderId="13" xfId="0" applyNumberFormat="1" applyFont="1" applyFill="1" applyBorder="1" applyAlignment="1">
      <alignment horizontal="right" vertical="center"/>
    </xf>
    <xf numFmtId="180" fontId="53" fillId="15" borderId="35" xfId="0" applyNumberFormat="1" applyFont="1" applyFill="1" applyBorder="1" applyAlignment="1">
      <alignment horizontal="center" vertical="center"/>
    </xf>
    <xf numFmtId="176" fontId="54" fillId="0" borderId="60" xfId="4" applyFont="1" applyFill="1" applyBorder="1" applyAlignment="1" applyProtection="1">
      <alignment vertical="center"/>
    </xf>
    <xf numFmtId="176" fontId="54" fillId="0" borderId="18" xfId="4" applyFont="1" applyFill="1" applyBorder="1" applyAlignment="1" applyProtection="1">
      <alignment vertical="center"/>
    </xf>
    <xf numFmtId="176" fontId="55" fillId="0" borderId="60" xfId="4" applyFont="1" applyFill="1" applyBorder="1" applyAlignment="1" applyProtection="1">
      <alignment vertical="center"/>
    </xf>
    <xf numFmtId="176" fontId="55" fillId="0" borderId="18" xfId="4" applyFont="1" applyFill="1" applyBorder="1" applyAlignment="1" applyProtection="1">
      <alignment vertical="center"/>
    </xf>
    <xf numFmtId="38" fontId="64" fillId="0" borderId="78" xfId="4" applyNumberFormat="1" applyFont="1" applyFill="1" applyBorder="1" applyAlignment="1">
      <alignment horizontal="right" vertical="center"/>
      <protection locked="0"/>
    </xf>
    <xf numFmtId="38" fontId="64" fillId="0" borderId="78" xfId="4" applyNumberFormat="1" applyFont="1" applyFill="1" applyBorder="1" applyAlignment="1">
      <alignment vertical="top"/>
      <protection locked="0"/>
    </xf>
    <xf numFmtId="0" fontId="64" fillId="10" borderId="78" xfId="3" applyFont="1" applyFill="1" applyBorder="1" applyAlignment="1">
      <alignment horizontal="left" vertical="center" indent="1"/>
      <protection locked="0"/>
    </xf>
    <xf numFmtId="176" fontId="64" fillId="10" borderId="78" xfId="4" applyFont="1" applyFill="1" applyBorder="1" applyAlignment="1">
      <alignment horizontal="right" vertical="center"/>
      <protection locked="0"/>
    </xf>
    <xf numFmtId="38" fontId="64" fillId="10" borderId="78" xfId="4" applyNumberFormat="1" applyFont="1" applyFill="1" applyBorder="1" applyAlignment="1">
      <alignment horizontal="right" vertical="center"/>
      <protection locked="0"/>
    </xf>
    <xf numFmtId="0" fontId="7" fillId="29" borderId="13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5" xfId="0" applyFont="1" applyBorder="1">
      <alignment vertical="center"/>
    </xf>
    <xf numFmtId="0" fontId="5" fillId="13" borderId="16" xfId="0" applyFont="1" applyFill="1" applyBorder="1" applyAlignment="1">
      <alignment horizontal="center" vertical="center"/>
    </xf>
    <xf numFmtId="177" fontId="5" fillId="13" borderId="19" xfId="0" applyNumberFormat="1" applyFont="1" applyFill="1" applyBorder="1" applyAlignment="1">
      <alignment horizontal="right" vertical="center"/>
    </xf>
    <xf numFmtId="177" fontId="5" fillId="13" borderId="20" xfId="0" applyNumberFormat="1" applyFont="1" applyFill="1" applyBorder="1" applyAlignment="1">
      <alignment horizontal="right" vertical="center"/>
    </xf>
    <xf numFmtId="10" fontId="5" fillId="13" borderId="17" xfId="0" applyNumberFormat="1" applyFont="1" applyFill="1" applyBorder="1" applyAlignment="1">
      <alignment horizontal="center" vertical="center"/>
    </xf>
    <xf numFmtId="10" fontId="5" fillId="13" borderId="16" xfId="0" applyNumberFormat="1" applyFont="1" applyFill="1" applyBorder="1" applyAlignment="1">
      <alignment horizontal="center" vertical="center"/>
    </xf>
    <xf numFmtId="0" fontId="7" fillId="0" borderId="91" xfId="0" applyFont="1" applyBorder="1">
      <alignment vertical="center"/>
    </xf>
    <xf numFmtId="177" fontId="10" fillId="0" borderId="91" xfId="0" applyNumberFormat="1" applyFont="1" applyBorder="1">
      <alignment vertical="center"/>
    </xf>
    <xf numFmtId="177" fontId="10" fillId="0" borderId="91" xfId="0" applyNumberFormat="1" applyFont="1" applyBorder="1" applyAlignment="1">
      <alignment vertical="center" wrapText="1"/>
    </xf>
    <xf numFmtId="177" fontId="7" fillId="0" borderId="91" xfId="0" applyNumberFormat="1" applyFont="1" applyBorder="1">
      <alignment vertical="center"/>
    </xf>
    <xf numFmtId="177" fontId="7" fillId="0" borderId="9" xfId="0" applyNumberFormat="1" applyFont="1" applyBorder="1" applyAlignment="1">
      <alignment horizontal="right" vertical="center"/>
    </xf>
    <xf numFmtId="0" fontId="5" fillId="0" borderId="16" xfId="0" applyFont="1" applyBorder="1" applyAlignment="1">
      <alignment horizontal="left" vertical="center"/>
    </xf>
    <xf numFmtId="177" fontId="7" fillId="37" borderId="17" xfId="0" applyNumberFormat="1" applyFont="1" applyFill="1" applyBorder="1" applyAlignment="1">
      <alignment horizontal="right" vertical="center"/>
    </xf>
    <xf numFmtId="177" fontId="5" fillId="18" borderId="20" xfId="0" applyNumberFormat="1" applyFont="1" applyFill="1" applyBorder="1" applyAlignment="1">
      <alignment horizontal="right" vertical="center"/>
    </xf>
    <xf numFmtId="10" fontId="13" fillId="0" borderId="58" xfId="0" applyNumberFormat="1" applyFont="1" applyBorder="1" applyAlignment="1">
      <alignment horizontal="center" vertical="center"/>
    </xf>
    <xf numFmtId="0" fontId="7" fillId="0" borderId="54" xfId="0" applyFont="1" applyBorder="1">
      <alignment vertical="center"/>
    </xf>
    <xf numFmtId="0" fontId="56" fillId="11" borderId="18" xfId="3" applyFont="1" applyFill="1" applyBorder="1" applyAlignment="1" applyProtection="1">
      <alignment horizontal="center" vertical="center"/>
    </xf>
    <xf numFmtId="176" fontId="56" fillId="11" borderId="18" xfId="4" applyFont="1" applyFill="1" applyBorder="1" applyAlignment="1" applyProtection="1">
      <alignment vertical="center"/>
    </xf>
    <xf numFmtId="176" fontId="56" fillId="11" borderId="19" xfId="3" applyNumberFormat="1" applyFont="1" applyFill="1" applyBorder="1" applyAlignment="1" applyProtection="1">
      <alignment vertical="center"/>
    </xf>
    <xf numFmtId="176" fontId="56" fillId="11" borderId="60" xfId="3" applyNumberFormat="1" applyFont="1" applyFill="1" applyBorder="1" applyAlignment="1" applyProtection="1">
      <alignment vertical="center"/>
    </xf>
    <xf numFmtId="176" fontId="56" fillId="11" borderId="19" xfId="4" applyFont="1" applyFill="1" applyBorder="1" applyAlignment="1" applyProtection="1">
      <alignment vertical="center"/>
    </xf>
    <xf numFmtId="0" fontId="59" fillId="38" borderId="18" xfId="3" applyFont="1" applyFill="1" applyBorder="1" applyAlignment="1" applyProtection="1">
      <alignment horizontal="center" vertical="center"/>
    </xf>
    <xf numFmtId="182" fontId="54" fillId="0" borderId="60" xfId="4" applyNumberFormat="1" applyFont="1" applyFill="1" applyBorder="1" applyAlignment="1" applyProtection="1">
      <alignment vertical="center"/>
    </xf>
    <xf numFmtId="0" fontId="64" fillId="27" borderId="78" xfId="3" applyFont="1" applyFill="1" applyBorder="1" applyAlignment="1">
      <alignment horizontal="center" vertical="center"/>
      <protection locked="0"/>
    </xf>
    <xf numFmtId="0" fontId="64" fillId="27" borderId="78" xfId="3" applyFont="1" applyFill="1" applyBorder="1" applyAlignment="1">
      <alignment horizontal="left" vertical="center"/>
      <protection locked="0"/>
    </xf>
    <xf numFmtId="176" fontId="64" fillId="27" borderId="78" xfId="4" applyFont="1" applyFill="1" applyBorder="1" applyAlignment="1">
      <alignment horizontal="right" vertical="center"/>
      <protection locked="0"/>
    </xf>
    <xf numFmtId="38" fontId="64" fillId="27" borderId="78" xfId="4" applyNumberFormat="1" applyFont="1" applyFill="1" applyBorder="1" applyAlignment="1">
      <alignment horizontal="right" vertical="center"/>
      <protection locked="0"/>
    </xf>
    <xf numFmtId="176" fontId="55" fillId="27" borderId="18" xfId="4" applyFont="1" applyFill="1" applyBorder="1" applyAlignment="1" applyProtection="1">
      <alignment vertical="center"/>
    </xf>
    <xf numFmtId="176" fontId="55" fillId="27" borderId="19" xfId="4" applyFont="1" applyFill="1" applyBorder="1" applyAlignment="1" applyProtection="1">
      <alignment vertical="center"/>
    </xf>
    <xf numFmtId="176" fontId="55" fillId="27" borderId="60" xfId="4" applyFont="1" applyFill="1" applyBorder="1" applyAlignment="1" applyProtection="1">
      <alignment vertical="center"/>
    </xf>
    <xf numFmtId="176" fontId="59" fillId="27" borderId="18" xfId="3" applyNumberFormat="1" applyFont="1" applyFill="1" applyBorder="1" applyAlignment="1" applyProtection="1">
      <alignment vertical="center"/>
    </xf>
    <xf numFmtId="176" fontId="55" fillId="10" borderId="18" xfId="4" applyFont="1" applyFill="1" applyBorder="1" applyAlignment="1" applyProtection="1">
      <alignment vertical="center"/>
    </xf>
    <xf numFmtId="176" fontId="55" fillId="10" borderId="19" xfId="4" applyFont="1" applyFill="1" applyBorder="1" applyAlignment="1" applyProtection="1">
      <alignment vertical="center"/>
    </xf>
    <xf numFmtId="176" fontId="55" fillId="10" borderId="60" xfId="4" applyFont="1" applyFill="1" applyBorder="1" applyAlignment="1" applyProtection="1">
      <alignment vertical="center"/>
    </xf>
    <xf numFmtId="176" fontId="59" fillId="10" borderId="18" xfId="3" applyNumberFormat="1" applyFont="1" applyFill="1" applyBorder="1" applyAlignment="1" applyProtection="1">
      <alignment vertical="center"/>
    </xf>
    <xf numFmtId="176" fontId="57" fillId="10" borderId="18" xfId="3" applyNumberFormat="1" applyFont="1" applyFill="1" applyBorder="1" applyAlignment="1" applyProtection="1">
      <alignment vertical="center"/>
    </xf>
    <xf numFmtId="176" fontId="57" fillId="27" borderId="18" xfId="3" applyNumberFormat="1" applyFont="1" applyFill="1" applyBorder="1" applyAlignment="1" applyProtection="1">
      <alignment vertical="center"/>
    </xf>
    <xf numFmtId="0" fontId="7" fillId="27" borderId="13" xfId="0" applyFont="1" applyFill="1" applyBorder="1" applyAlignment="1">
      <alignment horizontal="center" vertical="center"/>
    </xf>
    <xf numFmtId="177" fontId="10" fillId="0" borderId="35" xfId="0" applyNumberFormat="1" applyFont="1" applyBorder="1">
      <alignment vertical="center"/>
    </xf>
    <xf numFmtId="0" fontId="7" fillId="19" borderId="13" xfId="0" applyFont="1" applyFill="1" applyBorder="1" applyAlignment="1">
      <alignment horizontal="center" vertical="center"/>
    </xf>
    <xf numFmtId="0" fontId="17" fillId="10" borderId="13" xfId="0" applyFont="1" applyFill="1" applyBorder="1">
      <alignment vertical="center"/>
    </xf>
    <xf numFmtId="0" fontId="17" fillId="11" borderId="34" xfId="0" applyFont="1" applyFill="1" applyBorder="1">
      <alignment vertical="center"/>
    </xf>
    <xf numFmtId="0" fontId="7" fillId="26" borderId="15" xfId="0" applyFont="1" applyFill="1" applyBorder="1">
      <alignment vertical="center"/>
    </xf>
    <xf numFmtId="0" fontId="7" fillId="11" borderId="22" xfId="0" applyFont="1" applyFill="1" applyBorder="1">
      <alignment vertical="center"/>
    </xf>
    <xf numFmtId="0" fontId="17" fillId="11" borderId="51" xfId="0" applyFont="1" applyFill="1" applyBorder="1">
      <alignment vertical="center"/>
    </xf>
    <xf numFmtId="177" fontId="12" fillId="0" borderId="35" xfId="0" applyNumberFormat="1" applyFont="1" applyBorder="1" applyAlignment="1">
      <alignment horizontal="right" vertical="center"/>
    </xf>
    <xf numFmtId="10" fontId="12" fillId="7" borderId="13" xfId="0" applyNumberFormat="1" applyFont="1" applyFill="1" applyBorder="1" applyAlignment="1">
      <alignment horizontal="center" vertical="center"/>
    </xf>
    <xf numFmtId="10" fontId="12" fillId="6" borderId="35" xfId="0" applyNumberFormat="1" applyFont="1" applyFill="1" applyBorder="1" applyAlignment="1">
      <alignment horizontal="center" vertical="center"/>
    </xf>
    <xf numFmtId="10" fontId="12" fillId="0" borderId="38" xfId="0" applyNumberFormat="1" applyFont="1" applyBorder="1" applyAlignment="1">
      <alignment horizontal="center" vertical="center"/>
    </xf>
    <xf numFmtId="0" fontId="7" fillId="33" borderId="26" xfId="0" applyFont="1" applyFill="1" applyBorder="1" applyAlignment="1">
      <alignment horizontal="center" vertical="center"/>
    </xf>
    <xf numFmtId="177" fontId="12" fillId="33" borderId="17" xfId="0" applyNumberFormat="1" applyFont="1" applyFill="1" applyBorder="1">
      <alignment vertical="center"/>
    </xf>
    <xf numFmtId="10" fontId="16" fillId="33" borderId="18" xfId="0" applyNumberFormat="1" applyFont="1" applyFill="1" applyBorder="1" applyAlignment="1">
      <alignment horizontal="center" vertical="center"/>
    </xf>
    <xf numFmtId="177" fontId="16" fillId="33" borderId="20" xfId="0" applyNumberFormat="1" applyFont="1" applyFill="1" applyBorder="1" applyAlignment="1">
      <alignment horizontal="right" vertical="center"/>
    </xf>
    <xf numFmtId="10" fontId="16" fillId="33" borderId="17" xfId="0" applyNumberFormat="1" applyFont="1" applyFill="1" applyBorder="1" applyAlignment="1">
      <alignment horizontal="center" vertical="center"/>
    </xf>
    <xf numFmtId="0" fontId="10" fillId="11" borderId="51" xfId="0" applyFont="1" applyFill="1" applyBorder="1">
      <alignment vertical="center"/>
    </xf>
    <xf numFmtId="0" fontId="7" fillId="24" borderId="34" xfId="0" applyFont="1" applyFill="1" applyBorder="1">
      <alignment vertical="center"/>
    </xf>
    <xf numFmtId="0" fontId="12" fillId="11" borderId="51" xfId="0" applyFont="1" applyFill="1" applyBorder="1">
      <alignment vertical="center"/>
    </xf>
    <xf numFmtId="10" fontId="13" fillId="20" borderId="21" xfId="0" applyNumberFormat="1" applyFont="1" applyFill="1" applyBorder="1" applyAlignment="1">
      <alignment horizontal="center" vertical="center"/>
    </xf>
    <xf numFmtId="10" fontId="13" fillId="33" borderId="21" xfId="0" applyNumberFormat="1" applyFont="1" applyFill="1" applyBorder="1" applyAlignment="1">
      <alignment horizontal="center" vertical="center"/>
    </xf>
    <xf numFmtId="10" fontId="13" fillId="20" borderId="38" xfId="0" applyNumberFormat="1" applyFont="1" applyFill="1" applyBorder="1" applyAlignment="1">
      <alignment horizontal="center" vertical="center"/>
    </xf>
    <xf numFmtId="177" fontId="12" fillId="20" borderId="46" xfId="0" applyNumberFormat="1" applyFont="1" applyFill="1" applyBorder="1" applyAlignment="1">
      <alignment horizontal="right" vertical="center"/>
    </xf>
    <xf numFmtId="10" fontId="16" fillId="20" borderId="44" xfId="0" applyNumberFormat="1" applyFont="1" applyFill="1" applyBorder="1" applyAlignment="1">
      <alignment horizontal="center" vertical="center"/>
    </xf>
    <xf numFmtId="177" fontId="16" fillId="20" borderId="48" xfId="0" applyNumberFormat="1" applyFont="1" applyFill="1" applyBorder="1" applyAlignment="1">
      <alignment horizontal="right" vertical="center"/>
    </xf>
    <xf numFmtId="10" fontId="16" fillId="20" borderId="46" xfId="0" applyNumberFormat="1" applyFont="1" applyFill="1" applyBorder="1" applyAlignment="1">
      <alignment horizontal="center" vertical="center"/>
    </xf>
    <xf numFmtId="0" fontId="7" fillId="22" borderId="26" xfId="0" applyFont="1" applyFill="1" applyBorder="1" applyAlignment="1">
      <alignment horizontal="center" vertical="center"/>
    </xf>
    <xf numFmtId="177" fontId="12" fillId="43" borderId="23" xfId="0" applyNumberFormat="1" applyFont="1" applyFill="1" applyBorder="1" applyAlignment="1">
      <alignment horizontal="right" vertical="center"/>
    </xf>
    <xf numFmtId="10" fontId="16" fillId="43" borderId="15" xfId="0" applyNumberFormat="1" applyFont="1" applyFill="1" applyBorder="1" applyAlignment="1">
      <alignment horizontal="center" vertical="center"/>
    </xf>
    <xf numFmtId="177" fontId="16" fillId="43" borderId="40" xfId="0" applyNumberFormat="1" applyFont="1" applyFill="1" applyBorder="1" applyAlignment="1">
      <alignment horizontal="right" vertical="center"/>
    </xf>
    <xf numFmtId="10" fontId="16" fillId="43" borderId="23" xfId="0" applyNumberFormat="1" applyFont="1" applyFill="1" applyBorder="1" applyAlignment="1">
      <alignment horizontal="center" vertical="center"/>
    </xf>
    <xf numFmtId="177" fontId="12" fillId="43" borderId="39" xfId="0" applyNumberFormat="1" applyFont="1" applyFill="1" applyBorder="1" applyAlignment="1">
      <alignment horizontal="right" vertical="center"/>
    </xf>
    <xf numFmtId="10" fontId="16" fillId="43" borderId="26" xfId="0" applyNumberFormat="1" applyFont="1" applyFill="1" applyBorder="1" applyAlignment="1">
      <alignment horizontal="center" vertical="center"/>
    </xf>
    <xf numFmtId="177" fontId="16" fillId="43" borderId="25" xfId="0" applyNumberFormat="1" applyFont="1" applyFill="1" applyBorder="1" applyAlignment="1">
      <alignment horizontal="right" vertical="center"/>
    </xf>
    <xf numFmtId="10" fontId="13" fillId="43" borderId="21" xfId="0" applyNumberFormat="1" applyFont="1" applyFill="1" applyBorder="1" applyAlignment="1">
      <alignment horizontal="center" vertical="center"/>
    </xf>
    <xf numFmtId="0" fontId="7" fillId="43" borderId="18" xfId="0" applyFont="1" applyFill="1" applyBorder="1">
      <alignment vertical="center"/>
    </xf>
    <xf numFmtId="0" fontId="17" fillId="43" borderId="18" xfId="0" applyFont="1" applyFill="1" applyBorder="1">
      <alignment vertical="center"/>
    </xf>
    <xf numFmtId="177" fontId="7" fillId="43" borderId="17" xfId="0" applyNumberFormat="1" applyFont="1" applyFill="1" applyBorder="1" applyAlignment="1">
      <alignment horizontal="right" vertical="center"/>
    </xf>
    <xf numFmtId="10" fontId="11" fillId="43" borderId="18" xfId="0" applyNumberFormat="1" applyFont="1" applyFill="1" applyBorder="1" applyAlignment="1">
      <alignment horizontal="center" vertical="center"/>
    </xf>
    <xf numFmtId="177" fontId="7" fillId="43" borderId="19" xfId="0" applyNumberFormat="1" applyFont="1" applyFill="1" applyBorder="1" applyAlignment="1">
      <alignment horizontal="right" vertical="center"/>
    </xf>
    <xf numFmtId="177" fontId="5" fillId="43" borderId="20" xfId="0" applyNumberFormat="1" applyFont="1" applyFill="1" applyBorder="1" applyAlignment="1">
      <alignment horizontal="right" vertical="center"/>
    </xf>
    <xf numFmtId="10" fontId="11" fillId="43" borderId="17" xfId="0" applyNumberFormat="1" applyFont="1" applyFill="1" applyBorder="1" applyAlignment="1">
      <alignment horizontal="center" vertical="center"/>
    </xf>
    <xf numFmtId="177" fontId="5" fillId="43" borderId="37" xfId="0" applyNumberFormat="1" applyFont="1" applyFill="1" applyBorder="1" applyAlignment="1">
      <alignment horizontal="right" vertical="center"/>
    </xf>
    <xf numFmtId="0" fontId="7" fillId="27" borderId="18" xfId="0" applyFont="1" applyFill="1" applyBorder="1" applyAlignment="1">
      <alignment horizontal="left" vertical="center"/>
    </xf>
    <xf numFmtId="0" fontId="7" fillId="27" borderId="18" xfId="0" applyFont="1" applyFill="1" applyBorder="1">
      <alignment vertical="center"/>
    </xf>
    <xf numFmtId="0" fontId="7" fillId="20" borderId="26" xfId="0" applyFont="1" applyFill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45" borderId="13" xfId="0" applyFont="1" applyFill="1" applyBorder="1" applyAlignment="1">
      <alignment horizontal="center" vertical="center"/>
    </xf>
    <xf numFmtId="0" fontId="7" fillId="45" borderId="15" xfId="0" applyFont="1" applyFill="1" applyBorder="1" applyAlignment="1">
      <alignment horizontal="center" vertical="center"/>
    </xf>
    <xf numFmtId="0" fontId="7" fillId="45" borderId="26" xfId="0" applyFont="1" applyFill="1" applyBorder="1" applyAlignment="1">
      <alignment horizontal="center" vertical="center"/>
    </xf>
    <xf numFmtId="177" fontId="12" fillId="45" borderId="17" xfId="0" applyNumberFormat="1" applyFont="1" applyFill="1" applyBorder="1" applyAlignment="1">
      <alignment horizontal="right" vertical="center"/>
    </xf>
    <xf numFmtId="10" fontId="16" fillId="45" borderId="18" xfId="0" applyNumberFormat="1" applyFont="1" applyFill="1" applyBorder="1" applyAlignment="1">
      <alignment horizontal="center" vertical="center"/>
    </xf>
    <xf numFmtId="177" fontId="16" fillId="45" borderId="20" xfId="0" applyNumberFormat="1" applyFont="1" applyFill="1" applyBorder="1" applyAlignment="1">
      <alignment horizontal="right" vertical="center"/>
    </xf>
    <xf numFmtId="10" fontId="16" fillId="45" borderId="17" xfId="0" applyNumberFormat="1" applyFont="1" applyFill="1" applyBorder="1" applyAlignment="1">
      <alignment horizontal="center" vertical="center"/>
    </xf>
    <xf numFmtId="177" fontId="16" fillId="45" borderId="37" xfId="0" applyNumberFormat="1" applyFont="1" applyFill="1" applyBorder="1" applyAlignment="1">
      <alignment horizontal="right" vertical="center"/>
    </xf>
    <xf numFmtId="10" fontId="13" fillId="45" borderId="21" xfId="0" applyNumberFormat="1" applyFont="1" applyFill="1" applyBorder="1" applyAlignment="1">
      <alignment horizontal="center" vertical="center"/>
    </xf>
    <xf numFmtId="177" fontId="12" fillId="10" borderId="17" xfId="0" applyNumberFormat="1" applyFont="1" applyFill="1" applyBorder="1">
      <alignment vertical="center"/>
    </xf>
    <xf numFmtId="10" fontId="16" fillId="10" borderId="18" xfId="0" applyNumberFormat="1" applyFont="1" applyFill="1" applyBorder="1" applyAlignment="1">
      <alignment horizontal="center" vertical="center"/>
    </xf>
    <xf numFmtId="177" fontId="16" fillId="10" borderId="20" xfId="0" applyNumberFormat="1" applyFont="1" applyFill="1" applyBorder="1" applyAlignment="1">
      <alignment horizontal="right" vertical="center"/>
    </xf>
    <xf numFmtId="10" fontId="16" fillId="10" borderId="17" xfId="0" applyNumberFormat="1" applyFont="1" applyFill="1" applyBorder="1" applyAlignment="1">
      <alignment horizontal="center" vertical="center"/>
    </xf>
    <xf numFmtId="10" fontId="13" fillId="10" borderId="21" xfId="0" applyNumberFormat="1" applyFont="1" applyFill="1" applyBorder="1" applyAlignment="1">
      <alignment horizontal="center" vertical="center"/>
    </xf>
    <xf numFmtId="0" fontId="17" fillId="10" borderId="18" xfId="0" applyFont="1" applyFill="1" applyBorder="1">
      <alignment vertical="center"/>
    </xf>
    <xf numFmtId="0" fontId="12" fillId="9" borderId="18" xfId="0" applyFont="1" applyFill="1" applyBorder="1">
      <alignment vertical="center"/>
    </xf>
    <xf numFmtId="0" fontId="7" fillId="46" borderId="18" xfId="0" applyFont="1" applyFill="1" applyBorder="1">
      <alignment vertical="center"/>
    </xf>
    <xf numFmtId="0" fontId="7" fillId="47" borderId="18" xfId="0" applyFont="1" applyFill="1" applyBorder="1">
      <alignment vertical="center"/>
    </xf>
    <xf numFmtId="0" fontId="7" fillId="48" borderId="18" xfId="0" applyFont="1" applyFill="1" applyBorder="1" applyAlignment="1">
      <alignment horizontal="center" vertical="center"/>
    </xf>
    <xf numFmtId="0" fontId="7" fillId="48" borderId="18" xfId="0" applyFont="1" applyFill="1" applyBorder="1">
      <alignment vertical="center"/>
    </xf>
    <xf numFmtId="0" fontId="17" fillId="49" borderId="13" xfId="0" applyFont="1" applyFill="1" applyBorder="1">
      <alignment vertical="center"/>
    </xf>
    <xf numFmtId="0" fontId="17" fillId="49" borderId="18" xfId="0" applyFont="1" applyFill="1" applyBorder="1" applyAlignment="1">
      <alignment horizontal="center" vertical="center"/>
    </xf>
    <xf numFmtId="0" fontId="7" fillId="50" borderId="18" xfId="0" applyFont="1" applyFill="1" applyBorder="1">
      <alignment vertical="center"/>
    </xf>
    <xf numFmtId="0" fontId="17" fillId="31" borderId="13" xfId="0" applyFont="1" applyFill="1" applyBorder="1">
      <alignment vertical="center"/>
    </xf>
    <xf numFmtId="0" fontId="7" fillId="31" borderId="26" xfId="0" applyFont="1" applyFill="1" applyBorder="1">
      <alignment vertical="center"/>
    </xf>
    <xf numFmtId="177" fontId="7" fillId="31" borderId="17" xfId="0" applyNumberFormat="1" applyFont="1" applyFill="1" applyBorder="1" applyAlignment="1">
      <alignment horizontal="right" vertical="center"/>
    </xf>
    <xf numFmtId="10" fontId="11" fillId="31" borderId="18" xfId="0" applyNumberFormat="1" applyFont="1" applyFill="1" applyBorder="1" applyAlignment="1">
      <alignment horizontal="center" vertical="center"/>
    </xf>
    <xf numFmtId="177" fontId="7" fillId="31" borderId="19" xfId="0" applyNumberFormat="1" applyFont="1" applyFill="1" applyBorder="1" applyAlignment="1">
      <alignment horizontal="right" vertical="center"/>
    </xf>
    <xf numFmtId="177" fontId="5" fillId="31" borderId="20" xfId="0" applyNumberFormat="1" applyFont="1" applyFill="1" applyBorder="1" applyAlignment="1">
      <alignment horizontal="right" vertical="center"/>
    </xf>
    <xf numFmtId="10" fontId="11" fillId="31" borderId="17" xfId="0" applyNumberFormat="1" applyFont="1" applyFill="1" applyBorder="1" applyAlignment="1">
      <alignment horizontal="center" vertical="center"/>
    </xf>
    <xf numFmtId="177" fontId="5" fillId="31" borderId="37" xfId="0" applyNumberFormat="1" applyFont="1" applyFill="1" applyBorder="1" applyAlignment="1">
      <alignment horizontal="right" vertical="center"/>
    </xf>
    <xf numFmtId="10" fontId="13" fillId="31" borderId="21" xfId="0" applyNumberFormat="1" applyFont="1" applyFill="1" applyBorder="1" applyAlignment="1">
      <alignment horizontal="center" vertical="center"/>
    </xf>
    <xf numFmtId="0" fontId="8" fillId="43" borderId="13" xfId="0" applyFont="1" applyFill="1" applyBorder="1">
      <alignment vertical="center"/>
    </xf>
    <xf numFmtId="0" fontId="8" fillId="43" borderId="26" xfId="0" applyFont="1" applyFill="1" applyBorder="1">
      <alignment vertical="center"/>
    </xf>
    <xf numFmtId="177" fontId="7" fillId="27" borderId="18" xfId="0" applyNumberFormat="1" applyFont="1" applyFill="1" applyBorder="1" applyAlignment="1">
      <alignment horizontal="right" vertical="center"/>
    </xf>
    <xf numFmtId="10" fontId="11" fillId="27" borderId="18" xfId="0" applyNumberFormat="1" applyFont="1" applyFill="1" applyBorder="1" applyAlignment="1">
      <alignment horizontal="center" vertical="center"/>
    </xf>
    <xf numFmtId="177" fontId="5" fillId="27" borderId="20" xfId="0" applyNumberFormat="1" applyFont="1" applyFill="1" applyBorder="1" applyAlignment="1">
      <alignment horizontal="right" vertical="center"/>
    </xf>
    <xf numFmtId="10" fontId="11" fillId="27" borderId="17" xfId="0" applyNumberFormat="1" applyFont="1" applyFill="1" applyBorder="1" applyAlignment="1">
      <alignment horizontal="center" vertical="center"/>
    </xf>
    <xf numFmtId="177" fontId="5" fillId="27" borderId="37" xfId="0" applyNumberFormat="1" applyFont="1" applyFill="1" applyBorder="1" applyAlignment="1">
      <alignment horizontal="right" vertical="center"/>
    </xf>
    <xf numFmtId="10" fontId="13" fillId="27" borderId="21" xfId="0" applyNumberFormat="1" applyFont="1" applyFill="1" applyBorder="1" applyAlignment="1">
      <alignment horizontal="center" vertical="center"/>
    </xf>
    <xf numFmtId="10" fontId="11" fillId="50" borderId="18" xfId="0" applyNumberFormat="1" applyFont="1" applyFill="1" applyBorder="1" applyAlignment="1">
      <alignment horizontal="center" vertical="center"/>
    </xf>
    <xf numFmtId="177" fontId="7" fillId="50" borderId="18" xfId="0" applyNumberFormat="1" applyFont="1" applyFill="1" applyBorder="1" applyAlignment="1">
      <alignment horizontal="right" vertical="center"/>
    </xf>
    <xf numFmtId="177" fontId="5" fillId="50" borderId="37" xfId="0" applyNumberFormat="1" applyFont="1" applyFill="1" applyBorder="1" applyAlignment="1">
      <alignment horizontal="right" vertical="center"/>
    </xf>
    <xf numFmtId="10" fontId="13" fillId="50" borderId="21" xfId="0" applyNumberFormat="1" applyFont="1" applyFill="1" applyBorder="1" applyAlignment="1">
      <alignment horizontal="center" vertical="center"/>
    </xf>
    <xf numFmtId="0" fontId="7" fillId="50" borderId="26" xfId="0" applyFont="1" applyFill="1" applyBorder="1" applyAlignment="1">
      <alignment horizontal="center" vertical="center"/>
    </xf>
    <xf numFmtId="10" fontId="11" fillId="20" borderId="18" xfId="0" applyNumberFormat="1" applyFont="1" applyFill="1" applyBorder="1" applyAlignment="1">
      <alignment horizontal="center" vertical="center"/>
    </xf>
    <xf numFmtId="177" fontId="7" fillId="20" borderId="18" xfId="0" applyNumberFormat="1" applyFont="1" applyFill="1" applyBorder="1" applyAlignment="1">
      <alignment horizontal="right" vertical="center"/>
    </xf>
    <xf numFmtId="177" fontId="5" fillId="20" borderId="37" xfId="0" applyNumberFormat="1" applyFont="1" applyFill="1" applyBorder="1" applyAlignment="1">
      <alignment horizontal="right" vertical="center"/>
    </xf>
    <xf numFmtId="0" fontId="7" fillId="51" borderId="26" xfId="0" applyFont="1" applyFill="1" applyBorder="1" applyAlignment="1">
      <alignment horizontal="center" vertical="center"/>
    </xf>
    <xf numFmtId="0" fontId="17" fillId="51" borderId="26" xfId="0" applyFont="1" applyFill="1" applyBorder="1">
      <alignment vertical="center"/>
    </xf>
    <xf numFmtId="177" fontId="7" fillId="51" borderId="17" xfId="0" applyNumberFormat="1" applyFont="1" applyFill="1" applyBorder="1" applyAlignment="1">
      <alignment horizontal="right" vertical="center"/>
    </xf>
    <xf numFmtId="10" fontId="11" fillId="51" borderId="18" xfId="0" applyNumberFormat="1" applyFont="1" applyFill="1" applyBorder="1" applyAlignment="1">
      <alignment horizontal="center" vertical="center"/>
    </xf>
    <xf numFmtId="177" fontId="7" fillId="51" borderId="18" xfId="0" applyNumberFormat="1" applyFont="1" applyFill="1" applyBorder="1" applyAlignment="1">
      <alignment horizontal="right" vertical="center"/>
    </xf>
    <xf numFmtId="177" fontId="5" fillId="51" borderId="20" xfId="0" applyNumberFormat="1" applyFont="1" applyFill="1" applyBorder="1" applyAlignment="1">
      <alignment horizontal="right" vertical="center"/>
    </xf>
    <xf numFmtId="10" fontId="11" fillId="51" borderId="17" xfId="0" applyNumberFormat="1" applyFont="1" applyFill="1" applyBorder="1" applyAlignment="1">
      <alignment horizontal="center" vertical="center"/>
    </xf>
    <xf numFmtId="177" fontId="5" fillId="51" borderId="37" xfId="0" applyNumberFormat="1" applyFont="1" applyFill="1" applyBorder="1" applyAlignment="1">
      <alignment horizontal="right" vertical="center"/>
    </xf>
    <xf numFmtId="10" fontId="13" fillId="51" borderId="21" xfId="0" applyNumberFormat="1" applyFont="1" applyFill="1" applyBorder="1" applyAlignment="1">
      <alignment horizontal="center" vertical="center"/>
    </xf>
    <xf numFmtId="177" fontId="7" fillId="26" borderId="17" xfId="0" applyNumberFormat="1" applyFont="1" applyFill="1" applyBorder="1" applyAlignment="1">
      <alignment horizontal="right" vertical="center"/>
    </xf>
    <xf numFmtId="10" fontId="11" fillId="26" borderId="18" xfId="0" applyNumberFormat="1" applyFont="1" applyFill="1" applyBorder="1" applyAlignment="1">
      <alignment horizontal="center" vertical="center"/>
    </xf>
    <xf numFmtId="177" fontId="7" fillId="26" borderId="18" xfId="0" applyNumberFormat="1" applyFont="1" applyFill="1" applyBorder="1" applyAlignment="1">
      <alignment horizontal="right" vertical="center"/>
    </xf>
    <xf numFmtId="177" fontId="5" fillId="26" borderId="20" xfId="0" applyNumberFormat="1" applyFont="1" applyFill="1" applyBorder="1" applyAlignment="1">
      <alignment horizontal="right" vertical="center"/>
    </xf>
    <xf numFmtId="10" fontId="11" fillId="26" borderId="17" xfId="0" applyNumberFormat="1" applyFont="1" applyFill="1" applyBorder="1" applyAlignment="1">
      <alignment horizontal="center" vertical="center"/>
    </xf>
    <xf numFmtId="177" fontId="5" fillId="26" borderId="37" xfId="0" applyNumberFormat="1" applyFont="1" applyFill="1" applyBorder="1" applyAlignment="1">
      <alignment horizontal="right" vertical="center"/>
    </xf>
    <xf numFmtId="10" fontId="13" fillId="26" borderId="21" xfId="0" applyNumberFormat="1" applyFont="1" applyFill="1" applyBorder="1" applyAlignment="1">
      <alignment horizontal="center" vertical="center"/>
    </xf>
    <xf numFmtId="177" fontId="16" fillId="38" borderId="20" xfId="0" applyNumberFormat="1" applyFont="1" applyFill="1" applyBorder="1" applyAlignment="1">
      <alignment horizontal="right" vertical="center"/>
    </xf>
    <xf numFmtId="177" fontId="5" fillId="38" borderId="37" xfId="0" applyNumberFormat="1" applyFont="1" applyFill="1" applyBorder="1" applyAlignment="1">
      <alignment horizontal="right" vertical="center"/>
    </xf>
    <xf numFmtId="177" fontId="5" fillId="38" borderId="20" xfId="0" applyNumberFormat="1" applyFont="1" applyFill="1" applyBorder="1" applyAlignment="1">
      <alignment horizontal="right" vertical="center"/>
    </xf>
    <xf numFmtId="177" fontId="5" fillId="38" borderId="58" xfId="0" applyNumberFormat="1" applyFont="1" applyFill="1" applyBorder="1" applyAlignment="1">
      <alignment horizontal="right" vertical="center"/>
    </xf>
    <xf numFmtId="177" fontId="5" fillId="38" borderId="63" xfId="0" applyNumberFormat="1" applyFont="1" applyFill="1" applyBorder="1" applyAlignment="1">
      <alignment horizontal="right" vertical="center"/>
    </xf>
    <xf numFmtId="177" fontId="16" fillId="38" borderId="37" xfId="0" applyNumberFormat="1" applyFont="1" applyFill="1" applyBorder="1" applyAlignment="1">
      <alignment horizontal="right" vertical="center"/>
    </xf>
    <xf numFmtId="177" fontId="5" fillId="38" borderId="25" xfId="0" applyNumberFormat="1" applyFont="1" applyFill="1" applyBorder="1" applyAlignment="1">
      <alignment horizontal="right" vertical="center"/>
    </xf>
    <xf numFmtId="177" fontId="5" fillId="38" borderId="12" xfId="0" applyNumberFormat="1" applyFont="1" applyFill="1" applyBorder="1" applyAlignment="1">
      <alignment horizontal="right" vertical="center"/>
    </xf>
    <xf numFmtId="177" fontId="5" fillId="38" borderId="40" xfId="0" applyNumberFormat="1" applyFont="1" applyFill="1" applyBorder="1" applyAlignment="1">
      <alignment horizontal="right" vertical="center"/>
    </xf>
    <xf numFmtId="0" fontId="5" fillId="38" borderId="5" xfId="0" applyFont="1" applyFill="1" applyBorder="1" applyAlignment="1">
      <alignment horizontal="center" vertical="center"/>
    </xf>
    <xf numFmtId="177" fontId="5" fillId="50" borderId="20" xfId="0" applyNumberFormat="1" applyFont="1" applyFill="1" applyBorder="1" applyAlignment="1">
      <alignment horizontal="right" vertical="center"/>
    </xf>
    <xf numFmtId="10" fontId="11" fillId="50" borderId="17" xfId="0" applyNumberFormat="1" applyFont="1" applyFill="1" applyBorder="1" applyAlignment="1">
      <alignment horizontal="center" vertical="center"/>
    </xf>
    <xf numFmtId="177" fontId="7" fillId="20" borderId="17" xfId="0" applyNumberFormat="1" applyFont="1" applyFill="1" applyBorder="1" applyAlignment="1">
      <alignment horizontal="right" vertical="center"/>
    </xf>
    <xf numFmtId="177" fontId="5" fillId="20" borderId="20" xfId="0" applyNumberFormat="1" applyFont="1" applyFill="1" applyBorder="1" applyAlignment="1">
      <alignment horizontal="right" vertical="center"/>
    </xf>
    <xf numFmtId="10" fontId="11" fillId="20" borderId="17" xfId="0" applyNumberFormat="1" applyFont="1" applyFill="1" applyBorder="1" applyAlignment="1">
      <alignment horizontal="center" vertical="center"/>
    </xf>
    <xf numFmtId="177" fontId="7" fillId="48" borderId="18" xfId="0" applyNumberFormat="1" applyFont="1" applyFill="1" applyBorder="1" applyAlignment="1">
      <alignment horizontal="right" vertical="center"/>
    </xf>
    <xf numFmtId="10" fontId="11" fillId="48" borderId="18" xfId="0" applyNumberFormat="1" applyFont="1" applyFill="1" applyBorder="1" applyAlignment="1">
      <alignment horizontal="center" vertical="center"/>
    </xf>
    <xf numFmtId="177" fontId="5" fillId="48" borderId="20" xfId="0" applyNumberFormat="1" applyFont="1" applyFill="1" applyBorder="1" applyAlignment="1">
      <alignment horizontal="right" vertical="center"/>
    </xf>
    <xf numFmtId="10" fontId="11" fillId="48" borderId="17" xfId="0" applyNumberFormat="1" applyFont="1" applyFill="1" applyBorder="1" applyAlignment="1">
      <alignment horizontal="center" vertical="center"/>
    </xf>
    <xf numFmtId="177" fontId="5" fillId="48" borderId="37" xfId="0" applyNumberFormat="1" applyFont="1" applyFill="1" applyBorder="1" applyAlignment="1">
      <alignment horizontal="right" vertical="center"/>
    </xf>
    <xf numFmtId="10" fontId="13" fillId="48" borderId="21" xfId="0" applyNumberFormat="1" applyFont="1" applyFill="1" applyBorder="1" applyAlignment="1">
      <alignment horizontal="center" vertical="center"/>
    </xf>
    <xf numFmtId="177" fontId="7" fillId="9" borderId="18" xfId="0" applyNumberFormat="1" applyFont="1" applyFill="1" applyBorder="1" applyAlignment="1">
      <alignment horizontal="right" vertical="center"/>
    </xf>
    <xf numFmtId="10" fontId="14" fillId="9" borderId="18" xfId="0" applyNumberFormat="1" applyFont="1" applyFill="1" applyBorder="1" applyAlignment="1">
      <alignment horizontal="center" vertical="center"/>
    </xf>
    <xf numFmtId="177" fontId="5" fillId="9" borderId="20" xfId="0" applyNumberFormat="1" applyFont="1" applyFill="1" applyBorder="1" applyAlignment="1">
      <alignment horizontal="right" vertical="center"/>
    </xf>
    <xf numFmtId="10" fontId="14" fillId="9" borderId="17" xfId="0" applyNumberFormat="1" applyFont="1" applyFill="1" applyBorder="1" applyAlignment="1">
      <alignment horizontal="center" vertical="center"/>
    </xf>
    <xf numFmtId="177" fontId="5" fillId="9" borderId="37" xfId="0" applyNumberFormat="1" applyFont="1" applyFill="1" applyBorder="1" applyAlignment="1">
      <alignment horizontal="right" vertical="center"/>
    </xf>
    <xf numFmtId="10" fontId="8" fillId="9" borderId="21" xfId="0" applyNumberFormat="1" applyFont="1" applyFill="1" applyBorder="1" applyAlignment="1">
      <alignment horizontal="center" vertical="center"/>
    </xf>
    <xf numFmtId="177" fontId="7" fillId="47" borderId="17" xfId="0" applyNumberFormat="1" applyFont="1" applyFill="1" applyBorder="1" applyAlignment="1">
      <alignment horizontal="right" vertical="center"/>
    </xf>
    <xf numFmtId="10" fontId="11" fillId="47" borderId="18" xfId="0" applyNumberFormat="1" applyFont="1" applyFill="1" applyBorder="1" applyAlignment="1">
      <alignment horizontal="center" vertical="center"/>
    </xf>
    <xf numFmtId="177" fontId="5" fillId="47" borderId="20" xfId="0" applyNumberFormat="1" applyFont="1" applyFill="1" applyBorder="1" applyAlignment="1">
      <alignment horizontal="right" vertical="center"/>
    </xf>
    <xf numFmtId="10" fontId="11" fillId="47" borderId="17" xfId="0" applyNumberFormat="1" applyFont="1" applyFill="1" applyBorder="1" applyAlignment="1">
      <alignment horizontal="center" vertical="center"/>
    </xf>
    <xf numFmtId="177" fontId="5" fillId="47" borderId="37" xfId="0" applyNumberFormat="1" applyFont="1" applyFill="1" applyBorder="1" applyAlignment="1">
      <alignment horizontal="right" vertical="center"/>
    </xf>
    <xf numFmtId="10" fontId="13" fillId="47" borderId="21" xfId="0" applyNumberFormat="1" applyFont="1" applyFill="1" applyBorder="1" applyAlignment="1">
      <alignment horizontal="center" vertical="center"/>
    </xf>
    <xf numFmtId="177" fontId="7" fillId="46" borderId="18" xfId="0" applyNumberFormat="1" applyFont="1" applyFill="1" applyBorder="1" applyAlignment="1">
      <alignment horizontal="right" vertical="center"/>
    </xf>
    <xf numFmtId="10" fontId="11" fillId="46" borderId="18" xfId="0" applyNumberFormat="1" applyFont="1" applyFill="1" applyBorder="1" applyAlignment="1">
      <alignment horizontal="center" vertical="center"/>
    </xf>
    <xf numFmtId="177" fontId="5" fillId="46" borderId="20" xfId="0" applyNumberFormat="1" applyFont="1" applyFill="1" applyBorder="1" applyAlignment="1">
      <alignment horizontal="right" vertical="center"/>
    </xf>
    <xf numFmtId="10" fontId="11" fillId="46" borderId="17" xfId="0" applyNumberFormat="1" applyFont="1" applyFill="1" applyBorder="1" applyAlignment="1">
      <alignment horizontal="center" vertical="center"/>
    </xf>
    <xf numFmtId="177" fontId="5" fillId="46" borderId="37" xfId="0" applyNumberFormat="1" applyFont="1" applyFill="1" applyBorder="1" applyAlignment="1">
      <alignment horizontal="right" vertical="center"/>
    </xf>
    <xf numFmtId="10" fontId="13" fillId="46" borderId="21" xfId="0" applyNumberFormat="1" applyFont="1" applyFill="1" applyBorder="1" applyAlignment="1">
      <alignment horizontal="center" vertical="center"/>
    </xf>
    <xf numFmtId="177" fontId="7" fillId="50" borderId="17" xfId="0" applyNumberFormat="1" applyFont="1" applyFill="1" applyBorder="1" applyAlignment="1">
      <alignment horizontal="right" vertical="center"/>
    </xf>
    <xf numFmtId="10" fontId="14" fillId="50" borderId="18" xfId="0" applyNumberFormat="1" applyFont="1" applyFill="1" applyBorder="1" applyAlignment="1">
      <alignment horizontal="center" vertical="center"/>
    </xf>
    <xf numFmtId="177" fontId="7" fillId="50" borderId="19" xfId="0" applyNumberFormat="1" applyFont="1" applyFill="1" applyBorder="1" applyAlignment="1">
      <alignment horizontal="right" vertical="center"/>
    </xf>
    <xf numFmtId="10" fontId="14" fillId="50" borderId="17" xfId="0" applyNumberFormat="1" applyFont="1" applyFill="1" applyBorder="1" applyAlignment="1">
      <alignment horizontal="center" vertical="center"/>
    </xf>
    <xf numFmtId="10" fontId="8" fillId="50" borderId="21" xfId="0" applyNumberFormat="1" applyFont="1" applyFill="1" applyBorder="1" applyAlignment="1">
      <alignment horizontal="center" vertical="center"/>
    </xf>
    <xf numFmtId="177" fontId="7" fillId="49" borderId="17" xfId="0" applyNumberFormat="1" applyFont="1" applyFill="1" applyBorder="1" applyAlignment="1">
      <alignment horizontal="right" vertical="center"/>
    </xf>
    <xf numFmtId="10" fontId="11" fillId="49" borderId="18" xfId="0" applyNumberFormat="1" applyFont="1" applyFill="1" applyBorder="1" applyAlignment="1">
      <alignment horizontal="center" vertical="center"/>
    </xf>
    <xf numFmtId="177" fontId="7" fillId="49" borderId="19" xfId="0" applyNumberFormat="1" applyFont="1" applyFill="1" applyBorder="1" applyAlignment="1">
      <alignment horizontal="right" vertical="center"/>
    </xf>
    <xf numFmtId="177" fontId="5" fillId="49" borderId="20" xfId="0" applyNumberFormat="1" applyFont="1" applyFill="1" applyBorder="1" applyAlignment="1">
      <alignment horizontal="right" vertical="center"/>
    </xf>
    <xf numFmtId="10" fontId="11" fillId="49" borderId="17" xfId="0" applyNumberFormat="1" applyFont="1" applyFill="1" applyBorder="1" applyAlignment="1">
      <alignment horizontal="center" vertical="center"/>
    </xf>
    <xf numFmtId="177" fontId="5" fillId="49" borderId="37" xfId="0" applyNumberFormat="1" applyFont="1" applyFill="1" applyBorder="1" applyAlignment="1">
      <alignment horizontal="right" vertical="center"/>
    </xf>
    <xf numFmtId="10" fontId="13" fillId="49" borderId="21" xfId="0" applyNumberFormat="1" applyFont="1" applyFill="1" applyBorder="1" applyAlignment="1">
      <alignment horizontal="center" vertical="center"/>
    </xf>
    <xf numFmtId="10" fontId="11" fillId="9" borderId="18" xfId="0" applyNumberFormat="1" applyFont="1" applyFill="1" applyBorder="1" applyAlignment="1">
      <alignment horizontal="center" vertical="center"/>
    </xf>
    <xf numFmtId="10" fontId="11" fillId="9" borderId="17" xfId="0" applyNumberFormat="1" applyFont="1" applyFill="1" applyBorder="1" applyAlignment="1">
      <alignment horizontal="center" vertical="center"/>
    </xf>
    <xf numFmtId="10" fontId="13" fillId="9" borderId="21" xfId="0" applyNumberFormat="1" applyFont="1" applyFill="1" applyBorder="1" applyAlignment="1">
      <alignment horizontal="center" vertical="center"/>
    </xf>
    <xf numFmtId="177" fontId="7" fillId="35" borderId="17" xfId="0" applyNumberFormat="1" applyFont="1" applyFill="1" applyBorder="1" applyAlignment="1">
      <alignment horizontal="right" vertical="center"/>
    </xf>
    <xf numFmtId="10" fontId="11" fillId="35" borderId="18" xfId="0" applyNumberFormat="1" applyFont="1" applyFill="1" applyBorder="1" applyAlignment="1">
      <alignment horizontal="center" vertical="center"/>
    </xf>
    <xf numFmtId="177" fontId="7" fillId="35" borderId="18" xfId="0" applyNumberFormat="1" applyFont="1" applyFill="1" applyBorder="1" applyAlignment="1">
      <alignment horizontal="right" vertical="center"/>
    </xf>
    <xf numFmtId="177" fontId="5" fillId="35" borderId="20" xfId="0" applyNumberFormat="1" applyFont="1" applyFill="1" applyBorder="1" applyAlignment="1">
      <alignment horizontal="right" vertical="center"/>
    </xf>
    <xf numFmtId="10" fontId="11" fillId="35" borderId="17" xfId="0" applyNumberFormat="1" applyFont="1" applyFill="1" applyBorder="1" applyAlignment="1">
      <alignment horizontal="center" vertical="center"/>
    </xf>
    <xf numFmtId="177" fontId="5" fillId="35" borderId="37" xfId="0" applyNumberFormat="1" applyFont="1" applyFill="1" applyBorder="1" applyAlignment="1">
      <alignment horizontal="right" vertical="center"/>
    </xf>
    <xf numFmtId="10" fontId="13" fillId="35" borderId="21" xfId="0" applyNumberFormat="1" applyFont="1" applyFill="1" applyBorder="1" applyAlignment="1">
      <alignment horizontal="center" vertical="center"/>
    </xf>
    <xf numFmtId="177" fontId="7" fillId="0" borderId="60" xfId="0" applyNumberFormat="1" applyFont="1" applyBorder="1" applyAlignment="1">
      <alignment horizontal="right" vertical="center"/>
    </xf>
    <xf numFmtId="0" fontId="7" fillId="29" borderId="26" xfId="0" applyFont="1" applyFill="1" applyBorder="1" applyAlignment="1">
      <alignment horizontal="center" vertical="center"/>
    </xf>
    <xf numFmtId="0" fontId="7" fillId="52" borderId="13" xfId="0" applyFont="1" applyFill="1" applyBorder="1">
      <alignment vertical="center"/>
    </xf>
    <xf numFmtId="0" fontId="7" fillId="52" borderId="26" xfId="0" applyFont="1" applyFill="1" applyBorder="1">
      <alignment vertical="center"/>
    </xf>
    <xf numFmtId="177" fontId="7" fillId="52" borderId="23" xfId="0" applyNumberFormat="1" applyFont="1" applyFill="1" applyBorder="1" applyAlignment="1">
      <alignment horizontal="right" vertical="center"/>
    </xf>
    <xf numFmtId="10" fontId="11" fillId="52" borderId="13" xfId="0" applyNumberFormat="1" applyFont="1" applyFill="1" applyBorder="1" applyAlignment="1">
      <alignment horizontal="center" vertical="center"/>
    </xf>
    <xf numFmtId="177" fontId="5" fillId="52" borderId="40" xfId="0" applyNumberFormat="1" applyFont="1" applyFill="1" applyBorder="1" applyAlignment="1">
      <alignment horizontal="right" vertical="center"/>
    </xf>
    <xf numFmtId="10" fontId="11" fillId="52" borderId="35" xfId="0" applyNumberFormat="1" applyFont="1" applyFill="1" applyBorder="1" applyAlignment="1">
      <alignment horizontal="center" vertical="center"/>
    </xf>
    <xf numFmtId="177" fontId="5" fillId="52" borderId="37" xfId="0" applyNumberFormat="1" applyFont="1" applyFill="1" applyBorder="1" applyAlignment="1">
      <alignment horizontal="right" vertical="center"/>
    </xf>
    <xf numFmtId="10" fontId="13" fillId="52" borderId="38" xfId="0" applyNumberFormat="1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 wrapText="1"/>
    </xf>
    <xf numFmtId="10" fontId="11" fillId="7" borderId="11" xfId="0" applyNumberFormat="1" applyFont="1" applyFill="1" applyBorder="1" applyAlignment="1">
      <alignment horizontal="center" vertical="center"/>
    </xf>
    <xf numFmtId="10" fontId="11" fillId="7" borderId="36" xfId="0" applyNumberFormat="1" applyFont="1" applyFill="1" applyBorder="1" applyAlignment="1">
      <alignment horizontal="center" vertical="center"/>
    </xf>
    <xf numFmtId="10" fontId="5" fillId="13" borderId="19" xfId="0" applyNumberFormat="1" applyFont="1" applyFill="1" applyBorder="1" applyAlignment="1">
      <alignment horizontal="center" vertical="center"/>
    </xf>
    <xf numFmtId="10" fontId="5" fillId="13" borderId="32" xfId="0" applyNumberFormat="1" applyFont="1" applyFill="1" applyBorder="1" applyAlignment="1">
      <alignment horizontal="center" vertical="center"/>
    </xf>
    <xf numFmtId="10" fontId="5" fillId="16" borderId="49" xfId="0" applyNumberFormat="1" applyFont="1" applyFill="1" applyBorder="1" applyAlignment="1">
      <alignment horizontal="center" vertical="center"/>
    </xf>
    <xf numFmtId="10" fontId="11" fillId="7" borderId="19" xfId="0" applyNumberFormat="1" applyFont="1" applyFill="1" applyBorder="1" applyAlignment="1">
      <alignment horizontal="center" vertical="center"/>
    </xf>
    <xf numFmtId="10" fontId="16" fillId="7" borderId="19" xfId="0" applyNumberFormat="1" applyFont="1" applyFill="1" applyBorder="1" applyAlignment="1">
      <alignment horizontal="center" vertical="center"/>
    </xf>
    <xf numFmtId="10" fontId="16" fillId="7" borderId="36" xfId="0" applyNumberFormat="1" applyFont="1" applyFill="1" applyBorder="1" applyAlignment="1">
      <alignment horizontal="center" vertical="center"/>
    </xf>
    <xf numFmtId="10" fontId="16" fillId="43" borderId="24" xfId="0" applyNumberFormat="1" applyFont="1" applyFill="1" applyBorder="1" applyAlignment="1">
      <alignment horizontal="center" vertical="center"/>
    </xf>
    <xf numFmtId="10" fontId="16" fillId="20" borderId="49" xfId="0" applyNumberFormat="1" applyFont="1" applyFill="1" applyBorder="1" applyAlignment="1">
      <alignment horizontal="center" vertical="center"/>
    </xf>
    <xf numFmtId="10" fontId="16" fillId="45" borderId="19" xfId="0" applyNumberFormat="1" applyFont="1" applyFill="1" applyBorder="1" applyAlignment="1">
      <alignment horizontal="center" vertical="center"/>
    </xf>
    <xf numFmtId="10" fontId="16" fillId="10" borderId="19" xfId="0" applyNumberFormat="1" applyFont="1" applyFill="1" applyBorder="1" applyAlignment="1">
      <alignment horizontal="center" vertical="center"/>
    </xf>
    <xf numFmtId="10" fontId="16" fillId="33" borderId="19" xfId="0" applyNumberFormat="1" applyFont="1" applyFill="1" applyBorder="1" applyAlignment="1">
      <alignment horizontal="center" vertical="center"/>
    </xf>
    <xf numFmtId="10" fontId="5" fillId="25" borderId="49" xfId="0" applyNumberFormat="1" applyFont="1" applyFill="1" applyBorder="1" applyAlignment="1">
      <alignment horizontal="center" vertical="center"/>
    </xf>
    <xf numFmtId="10" fontId="12" fillId="7" borderId="36" xfId="0" applyNumberFormat="1" applyFont="1" applyFill="1" applyBorder="1" applyAlignment="1">
      <alignment horizontal="center" vertical="center"/>
    </xf>
    <xf numFmtId="10" fontId="14" fillId="7" borderId="36" xfId="0" applyNumberFormat="1" applyFont="1" applyFill="1" applyBorder="1" applyAlignment="1">
      <alignment horizontal="center" vertical="center"/>
    </xf>
    <xf numFmtId="10" fontId="5" fillId="28" borderId="49" xfId="0" applyNumberFormat="1" applyFont="1" applyFill="1" applyBorder="1" applyAlignment="1">
      <alignment horizontal="center" vertical="center"/>
    </xf>
    <xf numFmtId="10" fontId="5" fillId="21" borderId="49" xfId="0" applyNumberFormat="1" applyFont="1" applyFill="1" applyBorder="1" applyAlignment="1">
      <alignment horizontal="center" vertical="center"/>
    </xf>
    <xf numFmtId="10" fontId="11" fillId="27" borderId="19" xfId="0" applyNumberFormat="1" applyFont="1" applyFill="1" applyBorder="1" applyAlignment="1">
      <alignment horizontal="center" vertical="center"/>
    </xf>
    <xf numFmtId="10" fontId="11" fillId="50" borderId="19" xfId="0" applyNumberFormat="1" applyFont="1" applyFill="1" applyBorder="1" applyAlignment="1">
      <alignment horizontal="center" vertical="center"/>
    </xf>
    <xf numFmtId="10" fontId="14" fillId="7" borderId="19" xfId="0" applyNumberFormat="1" applyFont="1" applyFill="1" applyBorder="1" applyAlignment="1">
      <alignment horizontal="center" vertical="center"/>
    </xf>
    <xf numFmtId="10" fontId="11" fillId="20" borderId="19" xfId="0" applyNumberFormat="1" applyFont="1" applyFill="1" applyBorder="1" applyAlignment="1">
      <alignment horizontal="center" vertical="center"/>
    </xf>
    <xf numFmtId="10" fontId="11" fillId="48" borderId="19" xfId="0" applyNumberFormat="1" applyFont="1" applyFill="1" applyBorder="1" applyAlignment="1">
      <alignment horizontal="center" vertical="center"/>
    </xf>
    <xf numFmtId="10" fontId="14" fillId="9" borderId="19" xfId="0" applyNumberFormat="1" applyFont="1" applyFill="1" applyBorder="1" applyAlignment="1">
      <alignment horizontal="center" vertical="center"/>
    </xf>
    <xf numFmtId="10" fontId="11" fillId="47" borderId="19" xfId="0" applyNumberFormat="1" applyFont="1" applyFill="1" applyBorder="1" applyAlignment="1">
      <alignment horizontal="center" vertical="center"/>
    </xf>
    <xf numFmtId="10" fontId="11" fillId="46" borderId="19" xfId="0" applyNumberFormat="1" applyFont="1" applyFill="1" applyBorder="1" applyAlignment="1">
      <alignment horizontal="center" vertical="center"/>
    </xf>
    <xf numFmtId="10" fontId="14" fillId="50" borderId="19" xfId="0" applyNumberFormat="1" applyFont="1" applyFill="1" applyBorder="1" applyAlignment="1">
      <alignment horizontal="center" vertical="center"/>
    </xf>
    <xf numFmtId="10" fontId="11" fillId="49" borderId="19" xfId="0" applyNumberFormat="1" applyFont="1" applyFill="1" applyBorder="1" applyAlignment="1">
      <alignment horizontal="center" vertical="center"/>
    </xf>
    <xf numFmtId="10" fontId="11" fillId="9" borderId="19" xfId="0" applyNumberFormat="1" applyFont="1" applyFill="1" applyBorder="1" applyAlignment="1">
      <alignment horizontal="center" vertical="center"/>
    </xf>
    <xf numFmtId="10" fontId="11" fillId="43" borderId="19" xfId="0" applyNumberFormat="1" applyFont="1" applyFill="1" applyBorder="1" applyAlignment="1">
      <alignment horizontal="center" vertical="center"/>
    </xf>
    <xf numFmtId="10" fontId="11" fillId="31" borderId="19" xfId="0" applyNumberFormat="1" applyFont="1" applyFill="1" applyBorder="1" applyAlignment="1">
      <alignment horizontal="center" vertical="center"/>
    </xf>
    <xf numFmtId="10" fontId="11" fillId="51" borderId="19" xfId="0" applyNumberFormat="1" applyFont="1" applyFill="1" applyBorder="1" applyAlignment="1">
      <alignment horizontal="center" vertical="center"/>
    </xf>
    <xf numFmtId="10" fontId="11" fillId="26" borderId="19" xfId="0" applyNumberFormat="1" applyFont="1" applyFill="1" applyBorder="1" applyAlignment="1">
      <alignment horizontal="center" vertical="center"/>
    </xf>
    <xf numFmtId="10" fontId="11" fillId="35" borderId="19" xfId="0" applyNumberFormat="1" applyFont="1" applyFill="1" applyBorder="1" applyAlignment="1">
      <alignment horizontal="center" vertical="center"/>
    </xf>
    <xf numFmtId="10" fontId="11" fillId="52" borderId="36" xfId="0" applyNumberFormat="1" applyFont="1" applyFill="1" applyBorder="1" applyAlignment="1">
      <alignment horizontal="center" vertical="center"/>
    </xf>
    <xf numFmtId="10" fontId="11" fillId="7" borderId="27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1" fillId="6" borderId="95" xfId="0" applyFont="1" applyFill="1" applyBorder="1" applyAlignment="1">
      <alignment horizontal="center" vertical="center" wrapText="1"/>
    </xf>
    <xf numFmtId="10" fontId="15" fillId="13" borderId="17" xfId="0" applyNumberFormat="1" applyFont="1" applyFill="1" applyBorder="1" applyAlignment="1">
      <alignment horizontal="center" vertical="center"/>
    </xf>
    <xf numFmtId="10" fontId="15" fillId="16" borderId="17" xfId="0" applyNumberFormat="1" applyFont="1" applyFill="1" applyBorder="1" applyAlignment="1">
      <alignment horizontal="center" vertical="center"/>
    </xf>
    <xf numFmtId="10" fontId="16" fillId="43" borderId="39" xfId="0" applyNumberFormat="1" applyFont="1" applyFill="1" applyBorder="1" applyAlignment="1">
      <alignment horizontal="center" vertical="center"/>
    </xf>
    <xf numFmtId="177" fontId="5" fillId="4" borderId="63" xfId="0" applyNumberFormat="1" applyFont="1" applyFill="1" applyBorder="1" applyAlignment="1">
      <alignment horizontal="right" vertical="center"/>
    </xf>
    <xf numFmtId="10" fontId="16" fillId="43" borderId="27" xfId="0" applyNumberFormat="1" applyFont="1" applyFill="1" applyBorder="1" applyAlignment="1">
      <alignment horizontal="center" vertical="center"/>
    </xf>
    <xf numFmtId="10" fontId="15" fillId="16" borderId="57" xfId="0" applyNumberFormat="1" applyFont="1" applyFill="1" applyBorder="1" applyAlignment="1">
      <alignment horizontal="center" vertical="center"/>
    </xf>
    <xf numFmtId="0" fontId="5" fillId="44" borderId="5" xfId="0" applyFont="1" applyFill="1" applyBorder="1" applyAlignment="1">
      <alignment horizontal="center" vertical="center"/>
    </xf>
    <xf numFmtId="177" fontId="5" fillId="11" borderId="40" xfId="0" applyNumberFormat="1" applyFont="1" applyFill="1" applyBorder="1" applyAlignment="1">
      <alignment horizontal="right" vertical="center"/>
    </xf>
    <xf numFmtId="177" fontId="16" fillId="44" borderId="20" xfId="0" applyNumberFormat="1" applyFont="1" applyFill="1" applyBorder="1" applyAlignment="1">
      <alignment horizontal="right" vertical="center"/>
    </xf>
    <xf numFmtId="177" fontId="16" fillId="44" borderId="37" xfId="0" applyNumberFormat="1" applyFont="1" applyFill="1" applyBorder="1" applyAlignment="1">
      <alignment horizontal="right" vertical="center"/>
    </xf>
    <xf numFmtId="177" fontId="16" fillId="25" borderId="48" xfId="0" applyNumberFormat="1" applyFont="1" applyFill="1" applyBorder="1" applyAlignment="1">
      <alignment horizontal="right" vertical="center"/>
    </xf>
    <xf numFmtId="177" fontId="5" fillId="5" borderId="96" xfId="0" applyNumberFormat="1" applyFont="1" applyFill="1" applyBorder="1" applyAlignment="1">
      <alignment horizontal="right" vertical="center"/>
    </xf>
    <xf numFmtId="10" fontId="5" fillId="5" borderId="97" xfId="0" applyNumberFormat="1" applyFont="1" applyFill="1" applyBorder="1" applyAlignment="1">
      <alignment horizontal="center" vertical="center"/>
    </xf>
    <xf numFmtId="177" fontId="5" fillId="5" borderId="98" xfId="0" applyNumberFormat="1" applyFont="1" applyFill="1" applyBorder="1" applyAlignment="1">
      <alignment horizontal="right" vertical="center"/>
    </xf>
    <xf numFmtId="177" fontId="5" fillId="5" borderId="99" xfId="0" applyNumberFormat="1" applyFont="1" applyFill="1" applyBorder="1" applyAlignment="1">
      <alignment horizontal="right" vertical="center"/>
    </xf>
    <xf numFmtId="10" fontId="5" fillId="5" borderId="99" xfId="0" applyNumberFormat="1" applyFont="1" applyFill="1" applyBorder="1" applyAlignment="1">
      <alignment horizontal="center" vertical="center"/>
    </xf>
    <xf numFmtId="177" fontId="5" fillId="5" borderId="5" xfId="0" applyNumberFormat="1" applyFont="1" applyFill="1" applyBorder="1" applyAlignment="1">
      <alignment horizontal="right" vertical="center"/>
    </xf>
    <xf numFmtId="10" fontId="5" fillId="5" borderId="100" xfId="0" applyNumberFormat="1" applyFont="1" applyFill="1" applyBorder="1" applyAlignment="1">
      <alignment horizontal="center" vertical="center"/>
    </xf>
    <xf numFmtId="10" fontId="15" fillId="5" borderId="6" xfId="0" applyNumberFormat="1" applyFont="1" applyFill="1" applyBorder="1" applyAlignment="1">
      <alignment horizontal="center" vertical="center"/>
    </xf>
    <xf numFmtId="10" fontId="13" fillId="0" borderId="101" xfId="0" applyNumberFormat="1" applyFont="1" applyBorder="1" applyAlignment="1">
      <alignment horizontal="center" vertical="center"/>
    </xf>
    <xf numFmtId="177" fontId="12" fillId="52" borderId="35" xfId="0" applyNumberFormat="1" applyFont="1" applyFill="1" applyBorder="1" applyAlignment="1">
      <alignment horizontal="right" vertical="center"/>
    </xf>
    <xf numFmtId="177" fontId="12" fillId="52" borderId="17" xfId="0" applyNumberFormat="1" applyFont="1" applyFill="1" applyBorder="1" applyAlignment="1">
      <alignment horizontal="right" vertical="center"/>
    </xf>
    <xf numFmtId="177" fontId="8" fillId="52" borderId="0" xfId="0" applyNumberFormat="1" applyFont="1" applyFill="1">
      <alignment vertical="center"/>
    </xf>
    <xf numFmtId="0" fontId="7" fillId="9" borderId="26" xfId="0" applyFont="1" applyFill="1" applyBorder="1" applyAlignment="1">
      <alignment horizontal="center" vertical="center"/>
    </xf>
    <xf numFmtId="0" fontId="53" fillId="36" borderId="56" xfId="0" applyFont="1" applyFill="1" applyBorder="1" applyAlignment="1">
      <alignment horizontal="center" vertical="center"/>
    </xf>
    <xf numFmtId="0" fontId="53" fillId="0" borderId="13" xfId="0" applyFont="1" applyBorder="1" applyAlignment="1">
      <alignment horizontal="left" vertical="center"/>
    </xf>
    <xf numFmtId="0" fontId="77" fillId="0" borderId="34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center" vertical="center"/>
    </xf>
    <xf numFmtId="3" fontId="20" fillId="0" borderId="18" xfId="0" applyNumberFormat="1" applyFont="1" applyBorder="1" applyAlignment="1">
      <alignment horizontal="center" vertical="center"/>
    </xf>
    <xf numFmtId="0" fontId="53" fillId="15" borderId="13" xfId="0" applyFont="1" applyFill="1" applyBorder="1" applyAlignment="1">
      <alignment horizontal="left" vertical="center"/>
    </xf>
    <xf numFmtId="0" fontId="9" fillId="15" borderId="18" xfId="0" applyFont="1" applyFill="1" applyBorder="1" applyAlignment="1">
      <alignment horizontal="center" vertical="center"/>
    </xf>
    <xf numFmtId="0" fontId="77" fillId="15" borderId="34" xfId="0" applyFont="1" applyFill="1" applyBorder="1" applyAlignment="1">
      <alignment horizontal="left" vertical="center" wrapText="1"/>
    </xf>
    <xf numFmtId="180" fontId="53" fillId="0" borderId="65" xfId="0" applyNumberFormat="1" applyFont="1" applyBorder="1" applyAlignment="1">
      <alignment horizontal="center" vertical="center"/>
    </xf>
    <xf numFmtId="0" fontId="53" fillId="0" borderId="42" xfId="0" applyFont="1" applyBorder="1" applyAlignment="1">
      <alignment horizontal="left" vertical="center"/>
    </xf>
    <xf numFmtId="3" fontId="53" fillId="0" borderId="42" xfId="0" applyNumberFormat="1" applyFont="1" applyBorder="1" applyAlignment="1">
      <alignment horizontal="right" vertical="center"/>
    </xf>
    <xf numFmtId="0" fontId="9" fillId="0" borderId="31" xfId="0" applyFont="1" applyBorder="1" applyAlignment="1">
      <alignment horizontal="center" vertical="center"/>
    </xf>
    <xf numFmtId="0" fontId="77" fillId="0" borderId="102" xfId="0" applyFont="1" applyBorder="1" applyAlignment="1">
      <alignment horizontal="left" vertical="center" wrapText="1"/>
    </xf>
    <xf numFmtId="180" fontId="78" fillId="15" borderId="35" xfId="0" applyNumberFormat="1" applyFont="1" applyFill="1" applyBorder="1" applyAlignment="1">
      <alignment horizontal="center" vertical="center"/>
    </xf>
    <xf numFmtId="0" fontId="78" fillId="15" borderId="13" xfId="0" applyFont="1" applyFill="1" applyBorder="1" applyAlignment="1">
      <alignment horizontal="left" vertical="center"/>
    </xf>
    <xf numFmtId="3" fontId="78" fillId="15" borderId="13" xfId="0" applyNumberFormat="1" applyFont="1" applyFill="1" applyBorder="1" applyAlignment="1">
      <alignment horizontal="right" vertical="center"/>
    </xf>
    <xf numFmtId="0" fontId="79" fillId="15" borderId="18" xfId="0" applyFont="1" applyFill="1" applyBorder="1" applyAlignment="1">
      <alignment horizontal="center" vertical="center"/>
    </xf>
    <xf numFmtId="0" fontId="80" fillId="15" borderId="34" xfId="0" applyFont="1" applyFill="1" applyBorder="1" applyAlignment="1">
      <alignment horizontal="left" vertical="center" wrapText="1"/>
    </xf>
    <xf numFmtId="0" fontId="20" fillId="53" borderId="18" xfId="0" applyFont="1" applyFill="1" applyBorder="1" applyAlignment="1">
      <alignment horizontal="center" vertical="center"/>
    </xf>
    <xf numFmtId="3" fontId="20" fillId="53" borderId="18" xfId="0" applyNumberFormat="1" applyFont="1" applyFill="1" applyBorder="1" applyAlignment="1">
      <alignment horizontal="center" vertical="center"/>
    </xf>
    <xf numFmtId="180" fontId="53" fillId="53" borderId="35" xfId="0" applyNumberFormat="1" applyFont="1" applyFill="1" applyBorder="1" applyAlignment="1">
      <alignment horizontal="center" vertical="center"/>
    </xf>
    <xf numFmtId="0" fontId="53" fillId="53" borderId="13" xfId="0" applyFont="1" applyFill="1" applyBorder="1" applyAlignment="1">
      <alignment horizontal="left" vertical="center"/>
    </xf>
    <xf numFmtId="3" fontId="53" fillId="53" borderId="13" xfId="0" applyNumberFormat="1" applyFont="1" applyFill="1" applyBorder="1" applyAlignment="1">
      <alignment horizontal="right" vertical="center"/>
    </xf>
    <xf numFmtId="0" fontId="9" fillId="53" borderId="18" xfId="0" applyFont="1" applyFill="1" applyBorder="1" applyAlignment="1">
      <alignment horizontal="center" vertical="center"/>
    </xf>
    <xf numFmtId="0" fontId="77" fillId="53" borderId="34" xfId="0" applyFont="1" applyFill="1" applyBorder="1" applyAlignment="1">
      <alignment horizontal="left" vertical="center" wrapText="1"/>
    </xf>
    <xf numFmtId="180" fontId="53" fillId="10" borderId="35" xfId="0" applyNumberFormat="1" applyFont="1" applyFill="1" applyBorder="1" applyAlignment="1">
      <alignment horizontal="center" vertical="center"/>
    </xf>
    <xf numFmtId="0" fontId="53" fillId="10" borderId="13" xfId="0" applyFont="1" applyFill="1" applyBorder="1" applyAlignment="1">
      <alignment horizontal="left" vertical="center"/>
    </xf>
    <xf numFmtId="3" fontId="53" fillId="10" borderId="13" xfId="0" applyNumberFormat="1" applyFont="1" applyFill="1" applyBorder="1" applyAlignment="1">
      <alignment horizontal="right" vertical="center"/>
    </xf>
    <xf numFmtId="0" fontId="9" fillId="10" borderId="18" xfId="0" applyFont="1" applyFill="1" applyBorder="1" applyAlignment="1">
      <alignment horizontal="center" vertical="center"/>
    </xf>
    <xf numFmtId="0" fontId="77" fillId="10" borderId="34" xfId="0" applyFont="1" applyFill="1" applyBorder="1" applyAlignment="1">
      <alignment horizontal="left" vertical="center" wrapText="1"/>
    </xf>
    <xf numFmtId="180" fontId="53" fillId="10" borderId="65" xfId="0" applyNumberFormat="1" applyFont="1" applyFill="1" applyBorder="1" applyAlignment="1">
      <alignment horizontal="center" vertical="center"/>
    </xf>
    <xf numFmtId="0" fontId="53" fillId="10" borderId="42" xfId="0" applyFont="1" applyFill="1" applyBorder="1" applyAlignment="1">
      <alignment horizontal="left" vertical="center"/>
    </xf>
    <xf numFmtId="3" fontId="53" fillId="10" borderId="42" xfId="0" applyNumberFormat="1" applyFont="1" applyFill="1" applyBorder="1" applyAlignment="1">
      <alignment horizontal="right" vertical="center"/>
    </xf>
    <xf numFmtId="0" fontId="9" fillId="10" borderId="31" xfId="0" applyFont="1" applyFill="1" applyBorder="1" applyAlignment="1">
      <alignment horizontal="center" vertical="center"/>
    </xf>
    <xf numFmtId="0" fontId="77" fillId="10" borderId="102" xfId="0" applyFont="1" applyFill="1" applyBorder="1" applyAlignment="1">
      <alignment horizontal="left" vertical="center" wrapText="1"/>
    </xf>
    <xf numFmtId="10" fontId="6" fillId="21" borderId="46" xfId="0" applyNumberFormat="1" applyFont="1" applyFill="1" applyBorder="1" applyAlignment="1">
      <alignment horizontal="center" vertical="center"/>
    </xf>
    <xf numFmtId="177" fontId="8" fillId="29" borderId="44" xfId="0" applyNumberFormat="1" applyFont="1" applyFill="1" applyBorder="1">
      <alignment vertical="center"/>
    </xf>
    <xf numFmtId="0" fontId="81" fillId="11" borderId="16" xfId="0" applyFont="1" applyFill="1" applyBorder="1">
      <alignment vertical="center"/>
    </xf>
    <xf numFmtId="177" fontId="81" fillId="0" borderId="17" xfId="0" applyNumberFormat="1" applyFont="1" applyBorder="1" applyAlignment="1">
      <alignment horizontal="right" vertical="center"/>
    </xf>
    <xf numFmtId="10" fontId="82" fillId="7" borderId="18" xfId="0" applyNumberFormat="1" applyFont="1" applyFill="1" applyBorder="1" applyAlignment="1">
      <alignment horizontal="center" vertical="center"/>
    </xf>
    <xf numFmtId="177" fontId="81" fillId="0" borderId="18" xfId="0" applyNumberFormat="1" applyFont="1" applyBorder="1" applyAlignment="1">
      <alignment horizontal="right" vertical="center"/>
    </xf>
    <xf numFmtId="10" fontId="82" fillId="7" borderId="19" xfId="0" applyNumberFormat="1" applyFont="1" applyFill="1" applyBorder="1" applyAlignment="1">
      <alignment horizontal="center" vertical="center"/>
    </xf>
    <xf numFmtId="177" fontId="82" fillId="4" borderId="20" xfId="0" applyNumberFormat="1" applyFont="1" applyFill="1" applyBorder="1" applyAlignment="1">
      <alignment horizontal="right" vertical="center"/>
    </xf>
    <xf numFmtId="10" fontId="82" fillId="6" borderId="17" xfId="0" applyNumberFormat="1" applyFont="1" applyFill="1" applyBorder="1" applyAlignment="1">
      <alignment horizontal="center" vertical="center"/>
    </xf>
    <xf numFmtId="177" fontId="82" fillId="4" borderId="37" xfId="0" applyNumberFormat="1" applyFont="1" applyFill="1" applyBorder="1" applyAlignment="1">
      <alignment horizontal="right" vertical="center"/>
    </xf>
    <xf numFmtId="177" fontId="82" fillId="38" borderId="20" xfId="0" applyNumberFormat="1" applyFont="1" applyFill="1" applyBorder="1" applyAlignment="1">
      <alignment horizontal="right" vertical="center"/>
    </xf>
    <xf numFmtId="10" fontId="82" fillId="0" borderId="21" xfId="0" applyNumberFormat="1" applyFont="1" applyBorder="1" applyAlignment="1">
      <alignment horizontal="center" vertical="center"/>
    </xf>
    <xf numFmtId="176" fontId="5" fillId="0" borderId="0" xfId="0" applyNumberFormat="1" applyFont="1">
      <alignment vertical="center"/>
    </xf>
    <xf numFmtId="0" fontId="7" fillId="9" borderId="26" xfId="0" applyFont="1" applyFill="1" applyBorder="1" applyAlignment="1">
      <alignment horizontal="center" vertical="center" wrapText="1"/>
    </xf>
    <xf numFmtId="177" fontId="8" fillId="0" borderId="17" xfId="0" applyNumberFormat="1" applyFont="1" applyBorder="1" applyAlignment="1">
      <alignment horizontal="right" vertical="center"/>
    </xf>
    <xf numFmtId="10" fontId="10" fillId="0" borderId="0" xfId="2" applyNumberFormat="1" applyFont="1" applyAlignment="1">
      <alignment horizontal="right" vertical="center"/>
    </xf>
    <xf numFmtId="0" fontId="7" fillId="23" borderId="7" xfId="0" applyFont="1" applyFill="1" applyBorder="1" applyAlignment="1">
      <alignment horizontal="center" vertical="center"/>
    </xf>
    <xf numFmtId="0" fontId="7" fillId="23" borderId="15" xfId="0" applyFont="1" applyFill="1" applyBorder="1" applyAlignment="1">
      <alignment horizontal="center" vertical="center"/>
    </xf>
    <xf numFmtId="0" fontId="7" fillId="29" borderId="7" xfId="0" applyFont="1" applyFill="1" applyBorder="1" applyAlignment="1">
      <alignment horizontal="center" vertical="center"/>
    </xf>
    <xf numFmtId="0" fontId="7" fillId="29" borderId="15" xfId="0" applyFont="1" applyFill="1" applyBorder="1" applyAlignment="1">
      <alignment horizontal="center" vertical="center"/>
    </xf>
    <xf numFmtId="0" fontId="7" fillId="43" borderId="29" xfId="0" applyFont="1" applyFill="1" applyBorder="1">
      <alignment vertical="center"/>
    </xf>
    <xf numFmtId="0" fontId="20" fillId="0" borderId="13" xfId="0" applyFont="1" applyBorder="1" applyAlignment="1">
      <alignment horizontal="center" vertical="center"/>
    </xf>
    <xf numFmtId="3" fontId="20" fillId="0" borderId="13" xfId="0" applyNumberFormat="1" applyFont="1" applyBorder="1" applyAlignment="1">
      <alignment horizontal="center" vertical="center"/>
    </xf>
    <xf numFmtId="0" fontId="81" fillId="11" borderId="51" xfId="0" applyFont="1" applyFill="1" applyBorder="1">
      <alignment vertical="center"/>
    </xf>
    <xf numFmtId="0" fontId="12" fillId="11" borderId="22" xfId="0" applyFont="1" applyFill="1" applyBorder="1">
      <alignment vertical="center"/>
    </xf>
    <xf numFmtId="0" fontId="7" fillId="20" borderId="52" xfId="0" applyFont="1" applyFill="1" applyBorder="1">
      <alignment vertical="center"/>
    </xf>
    <xf numFmtId="0" fontId="7" fillId="20" borderId="15" xfId="0" applyFont="1" applyFill="1" applyBorder="1">
      <alignment vertical="center"/>
    </xf>
    <xf numFmtId="0" fontId="7" fillId="20" borderId="42" xfId="0" applyFont="1" applyFill="1" applyBorder="1">
      <alignment vertical="center"/>
    </xf>
    <xf numFmtId="0" fontId="7" fillId="0" borderId="94" xfId="0" applyFont="1" applyBorder="1">
      <alignment vertical="center"/>
    </xf>
    <xf numFmtId="0" fontId="7" fillId="0" borderId="24" xfId="0" applyFont="1" applyBorder="1">
      <alignment vertical="center"/>
    </xf>
    <xf numFmtId="0" fontId="7" fillId="0" borderId="62" xfId="0" applyFont="1" applyBorder="1">
      <alignment vertical="center"/>
    </xf>
    <xf numFmtId="177" fontId="8" fillId="0" borderId="18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184" fontId="53" fillId="0" borderId="104" xfId="7" applyNumberFormat="1" applyFont="1" applyBorder="1" applyAlignment="1">
      <alignment horizontal="center" vertical="center"/>
    </xf>
    <xf numFmtId="0" fontId="53" fillId="0" borderId="104" xfId="7" applyFont="1" applyBorder="1" applyAlignment="1">
      <alignment horizontal="left" vertical="center" wrapText="1" shrinkToFit="1"/>
    </xf>
    <xf numFmtId="0" fontId="53" fillId="0" borderId="104" xfId="7" applyFont="1" applyBorder="1" applyAlignment="1">
      <alignment horizontal="left" vertical="center" shrinkToFit="1"/>
    </xf>
    <xf numFmtId="183" fontId="53" fillId="0" borderId="104" xfId="7" applyNumberFormat="1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77" fillId="0" borderId="55" xfId="0" applyFont="1" applyBorder="1" applyAlignment="1">
      <alignment horizontal="left" vertical="center" wrapText="1"/>
    </xf>
    <xf numFmtId="184" fontId="53" fillId="0" borderId="103" xfId="7" applyNumberFormat="1" applyFont="1" applyBorder="1" applyAlignment="1">
      <alignment horizontal="center" vertical="center"/>
    </xf>
    <xf numFmtId="0" fontId="53" fillId="0" borderId="103" xfId="7" applyFont="1" applyBorder="1" applyAlignment="1">
      <alignment horizontal="left" vertical="center" shrinkToFit="1"/>
    </xf>
    <xf numFmtId="183" fontId="53" fillId="0" borderId="103" xfId="7" applyNumberFormat="1" applyFont="1" applyBorder="1" applyAlignment="1">
      <alignment horizontal="center" vertical="center"/>
    </xf>
    <xf numFmtId="180" fontId="53" fillId="0" borderId="105" xfId="0" applyNumberFormat="1" applyFont="1" applyBorder="1" applyAlignment="1">
      <alignment horizontal="center" vertical="center"/>
    </xf>
    <xf numFmtId="0" fontId="55" fillId="0" borderId="103" xfId="7" applyFont="1" applyBorder="1" applyAlignment="1">
      <alignment horizontal="left" vertical="center" shrinkToFit="1"/>
    </xf>
    <xf numFmtId="0" fontId="53" fillId="0" borderId="103" xfId="7" applyFont="1" applyBorder="1" applyAlignment="1">
      <alignment horizontal="left" vertical="center"/>
    </xf>
    <xf numFmtId="184" fontId="55" fillId="0" borderId="103" xfId="7" applyNumberFormat="1" applyFont="1" applyBorder="1" applyAlignment="1">
      <alignment horizontal="center" vertical="center"/>
    </xf>
    <xf numFmtId="0" fontId="55" fillId="0" borderId="103" xfId="7" applyFont="1" applyBorder="1" applyAlignment="1">
      <alignment horizontal="left" vertical="center"/>
    </xf>
    <xf numFmtId="183" fontId="20" fillId="0" borderId="18" xfId="0" applyNumberFormat="1" applyFont="1" applyBorder="1">
      <alignment vertical="center"/>
    </xf>
    <xf numFmtId="184" fontId="53" fillId="4" borderId="103" xfId="7" applyNumberFormat="1" applyFont="1" applyFill="1" applyBorder="1" applyAlignment="1">
      <alignment horizontal="center" vertical="center"/>
    </xf>
    <xf numFmtId="0" fontId="53" fillId="4" borderId="103" xfId="7" applyFont="1" applyFill="1" applyBorder="1" applyAlignment="1">
      <alignment horizontal="left" vertical="center" shrinkToFit="1"/>
    </xf>
    <xf numFmtId="183" fontId="53" fillId="4" borderId="103" xfId="7" applyNumberFormat="1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77" fillId="4" borderId="22" xfId="0" applyFont="1" applyFill="1" applyBorder="1" applyAlignment="1">
      <alignment horizontal="left" vertical="center" wrapText="1"/>
    </xf>
    <xf numFmtId="0" fontId="55" fillId="4" borderId="109" xfId="7" applyFont="1" applyFill="1" applyBorder="1" applyAlignment="1">
      <alignment horizontal="left" vertical="center" shrinkToFit="1"/>
    </xf>
    <xf numFmtId="0" fontId="53" fillId="4" borderId="105" xfId="7" applyFont="1" applyFill="1" applyBorder="1" applyAlignment="1">
      <alignment horizontal="left" vertical="center"/>
    </xf>
    <xf numFmtId="0" fontId="9" fillId="4" borderId="18" xfId="0" applyFont="1" applyFill="1" applyBorder="1" applyAlignment="1">
      <alignment horizontal="center" vertical="center"/>
    </xf>
    <xf numFmtId="0" fontId="84" fillId="4" borderId="110" xfId="7" applyFont="1" applyFill="1" applyBorder="1" applyAlignment="1">
      <alignment horizontal="left" vertical="center" wrapText="1"/>
    </xf>
    <xf numFmtId="0" fontId="55" fillId="4" borderId="0" xfId="7" applyFont="1" applyFill="1" applyAlignment="1">
      <alignment vertical="center"/>
    </xf>
    <xf numFmtId="0" fontId="53" fillId="4" borderId="107" xfId="7" applyFont="1" applyFill="1" applyBorder="1" applyAlignment="1">
      <alignment horizontal="left" vertical="center"/>
    </xf>
    <xf numFmtId="0" fontId="84" fillId="4" borderId="110" xfId="7" applyFont="1" applyFill="1" applyBorder="1" applyAlignment="1">
      <alignment horizontal="left" vertical="center"/>
    </xf>
    <xf numFmtId="0" fontId="9" fillId="4" borderId="13" xfId="0" applyFont="1" applyFill="1" applyBorder="1" applyAlignment="1">
      <alignment horizontal="center" vertical="center"/>
    </xf>
    <xf numFmtId="0" fontId="77" fillId="4" borderId="34" xfId="0" applyFont="1" applyFill="1" applyBorder="1" applyAlignment="1">
      <alignment horizontal="left" vertical="center" wrapText="1"/>
    </xf>
    <xf numFmtId="184" fontId="55" fillId="4" borderId="103" xfId="7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3" fontId="20" fillId="0" borderId="31" xfId="0" applyNumberFormat="1" applyFont="1" applyBorder="1">
      <alignment vertical="center"/>
    </xf>
    <xf numFmtId="184" fontId="55" fillId="0" borderId="111" xfId="7" applyNumberFormat="1" applyFont="1" applyBorder="1" applyAlignment="1">
      <alignment horizontal="center" vertical="center"/>
    </xf>
    <xf numFmtId="0" fontId="53" fillId="0" borderId="111" xfId="7" applyFont="1" applyBorder="1" applyAlignment="1">
      <alignment horizontal="left" vertical="center" shrinkToFit="1"/>
    </xf>
    <xf numFmtId="183" fontId="53" fillId="0" borderId="112" xfId="7" applyNumberFormat="1" applyFont="1" applyBorder="1" applyAlignment="1">
      <alignment horizontal="center" vertical="center"/>
    </xf>
    <xf numFmtId="0" fontId="0" fillId="0" borderId="74" xfId="0" applyBorder="1">
      <alignment vertical="center"/>
    </xf>
    <xf numFmtId="0" fontId="20" fillId="0" borderId="13" xfId="0" applyFont="1" applyBorder="1">
      <alignment vertical="center"/>
    </xf>
    <xf numFmtId="0" fontId="20" fillId="0" borderId="18" xfId="0" applyFont="1" applyBorder="1">
      <alignment vertical="center"/>
    </xf>
    <xf numFmtId="0" fontId="0" fillId="0" borderId="19" xfId="0" applyBorder="1">
      <alignment vertical="center"/>
    </xf>
    <xf numFmtId="180" fontId="53" fillId="0" borderId="18" xfId="0" applyNumberFormat="1" applyFont="1" applyBorder="1" applyAlignment="1">
      <alignment horizontal="center" vertical="center"/>
    </xf>
    <xf numFmtId="0" fontId="7" fillId="20" borderId="13" xfId="0" applyFont="1" applyFill="1" applyBorder="1">
      <alignment vertical="center"/>
    </xf>
    <xf numFmtId="0" fontId="7" fillId="43" borderId="26" xfId="0" applyFont="1" applyFill="1" applyBorder="1" applyAlignment="1">
      <alignment horizontal="center" vertical="center"/>
    </xf>
    <xf numFmtId="0" fontId="7" fillId="43" borderId="15" xfId="0" applyFont="1" applyFill="1" applyBorder="1" applyAlignment="1">
      <alignment horizontal="center" vertical="center"/>
    </xf>
    <xf numFmtId="0" fontId="7" fillId="15" borderId="15" xfId="0" applyFont="1" applyFill="1" applyBorder="1" applyAlignment="1">
      <alignment horizontal="center" vertical="center"/>
    </xf>
    <xf numFmtId="0" fontId="7" fillId="15" borderId="13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7" fillId="50" borderId="13" xfId="0" applyFont="1" applyFill="1" applyBorder="1" applyAlignment="1">
      <alignment horizontal="center" vertical="center"/>
    </xf>
    <xf numFmtId="0" fontId="7" fillId="43" borderId="15" xfId="0" applyFont="1" applyFill="1" applyBorder="1">
      <alignment vertical="center"/>
    </xf>
    <xf numFmtId="0" fontId="8" fillId="43" borderId="13" xfId="0" applyFont="1" applyFill="1" applyBorder="1" applyAlignment="1">
      <alignment horizontal="center" vertical="center"/>
    </xf>
    <xf numFmtId="0" fontId="7" fillId="22" borderId="18" xfId="0" applyFont="1" applyFill="1" applyBorder="1" applyAlignment="1">
      <alignment horizontal="center" vertical="center"/>
    </xf>
    <xf numFmtId="0" fontId="7" fillId="45" borderId="54" xfId="0" applyFont="1" applyFill="1" applyBorder="1" applyAlignment="1">
      <alignment horizontal="center" vertical="center"/>
    </xf>
    <xf numFmtId="0" fontId="7" fillId="45" borderId="18" xfId="0" applyFont="1" applyFill="1" applyBorder="1" applyAlignment="1">
      <alignment horizontal="center" vertical="center"/>
    </xf>
    <xf numFmtId="10" fontId="5" fillId="21" borderId="44" xfId="0" applyNumberFormat="1" applyFont="1" applyFill="1" applyBorder="1" applyAlignment="1">
      <alignment horizontal="center" vertical="center"/>
    </xf>
    <xf numFmtId="0" fontId="7" fillId="11" borderId="21" xfId="0" applyFont="1" applyFill="1" applyBorder="1">
      <alignment vertical="center"/>
    </xf>
    <xf numFmtId="0" fontId="7" fillId="46" borderId="17" xfId="0" applyFont="1" applyFill="1" applyBorder="1">
      <alignment vertical="center"/>
    </xf>
    <xf numFmtId="0" fontId="7" fillId="9" borderId="15" xfId="0" applyFont="1" applyFill="1" applyBorder="1" applyAlignment="1">
      <alignment horizontal="center" vertical="center"/>
    </xf>
    <xf numFmtId="177" fontId="12" fillId="27" borderId="17" xfId="0" applyNumberFormat="1" applyFont="1" applyFill="1" applyBorder="1">
      <alignment vertical="center"/>
    </xf>
    <xf numFmtId="10" fontId="16" fillId="27" borderId="18" xfId="0" applyNumberFormat="1" applyFont="1" applyFill="1" applyBorder="1" applyAlignment="1">
      <alignment horizontal="center" vertical="center"/>
    </xf>
    <xf numFmtId="10" fontId="16" fillId="27" borderId="19" xfId="0" applyNumberFormat="1" applyFont="1" applyFill="1" applyBorder="1" applyAlignment="1">
      <alignment horizontal="center" vertical="center"/>
    </xf>
    <xf numFmtId="177" fontId="16" fillId="27" borderId="20" xfId="0" applyNumberFormat="1" applyFont="1" applyFill="1" applyBorder="1" applyAlignment="1">
      <alignment horizontal="right" vertical="center"/>
    </xf>
    <xf numFmtId="10" fontId="16" fillId="27" borderId="17" xfId="0" applyNumberFormat="1" applyFont="1" applyFill="1" applyBorder="1" applyAlignment="1">
      <alignment horizontal="center" vertical="center"/>
    </xf>
    <xf numFmtId="180" fontId="53" fillId="15" borderId="57" xfId="0" applyNumberFormat="1" applyFont="1" applyFill="1" applyBorder="1" applyAlignment="1">
      <alignment horizontal="center" vertical="center"/>
    </xf>
    <xf numFmtId="0" fontId="53" fillId="15" borderId="54" xfId="0" applyFont="1" applyFill="1" applyBorder="1" applyAlignment="1">
      <alignment horizontal="left" vertical="center"/>
    </xf>
    <xf numFmtId="3" fontId="53" fillId="15" borderId="54" xfId="0" applyNumberFormat="1" applyFont="1" applyFill="1" applyBorder="1" applyAlignment="1">
      <alignment horizontal="right" vertical="center"/>
    </xf>
    <xf numFmtId="0" fontId="56" fillId="15" borderId="55" xfId="0" applyFont="1" applyFill="1" applyBorder="1" applyAlignment="1">
      <alignment horizontal="center" vertical="center" wrapText="1"/>
    </xf>
    <xf numFmtId="0" fontId="56" fillId="15" borderId="34" xfId="0" applyFont="1" applyFill="1" applyBorder="1" applyAlignment="1">
      <alignment horizontal="center" vertical="center" wrapText="1"/>
    </xf>
    <xf numFmtId="0" fontId="56" fillId="0" borderId="34" xfId="0" applyFont="1" applyBorder="1" applyAlignment="1">
      <alignment horizontal="center" vertical="center" wrapText="1"/>
    </xf>
    <xf numFmtId="0" fontId="56" fillId="53" borderId="34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3" fontId="20" fillId="0" borderId="31" xfId="0" applyNumberFormat="1" applyFont="1" applyBorder="1" applyAlignment="1">
      <alignment horizontal="center" vertical="center"/>
    </xf>
    <xf numFmtId="0" fontId="56" fillId="0" borderId="102" xfId="0" applyFont="1" applyBorder="1" applyAlignment="1">
      <alignment horizontal="center" vertical="center" wrapText="1"/>
    </xf>
    <xf numFmtId="0" fontId="7" fillId="27" borderId="18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7" fillId="50" borderId="18" xfId="0" applyFont="1" applyFill="1" applyBorder="1" applyAlignment="1">
      <alignment horizontal="center" vertical="center"/>
    </xf>
    <xf numFmtId="177" fontId="8" fillId="0" borderId="17" xfId="0" applyNumberFormat="1" applyFont="1" applyBorder="1">
      <alignment vertical="center"/>
    </xf>
    <xf numFmtId="0" fontId="7" fillId="17" borderId="13" xfId="0" applyFont="1" applyFill="1" applyBorder="1">
      <alignment vertical="center"/>
    </xf>
    <xf numFmtId="0" fontId="7" fillId="17" borderId="34" xfId="0" applyFont="1" applyFill="1" applyBorder="1">
      <alignment vertical="center"/>
    </xf>
    <xf numFmtId="0" fontId="7" fillId="23" borderId="13" xfId="0" applyFont="1" applyFill="1" applyBorder="1" applyAlignment="1">
      <alignment horizontal="center" vertical="center"/>
    </xf>
    <xf numFmtId="0" fontId="7" fillId="10" borderId="24" xfId="0" applyFont="1" applyFill="1" applyBorder="1" applyAlignment="1">
      <alignment horizontal="center" vertical="center"/>
    </xf>
    <xf numFmtId="0" fontId="7" fillId="17" borderId="18" xfId="0" applyFont="1" applyFill="1" applyBorder="1" applyAlignment="1">
      <alignment horizontal="center" vertical="center"/>
    </xf>
    <xf numFmtId="176" fontId="56" fillId="11" borderId="60" xfId="4" applyFont="1" applyFill="1" applyBorder="1" applyAlignment="1" applyProtection="1">
      <alignment vertical="center"/>
    </xf>
    <xf numFmtId="176" fontId="56" fillId="11" borderId="17" xfId="4" applyFont="1" applyFill="1" applyBorder="1" applyAlignment="1" applyProtection="1">
      <alignment vertical="center"/>
    </xf>
    <xf numFmtId="0" fontId="7" fillId="20" borderId="13" xfId="0" applyFont="1" applyFill="1" applyBorder="1" applyAlignment="1">
      <alignment horizontal="left" vertical="center"/>
    </xf>
    <xf numFmtId="0" fontId="87" fillId="0" borderId="0" xfId="5" applyFont="1"/>
    <xf numFmtId="0" fontId="87" fillId="0" borderId="0" xfId="5" applyFont="1" applyAlignment="1">
      <alignment horizontal="center"/>
    </xf>
    <xf numFmtId="0" fontId="63" fillId="0" borderId="0" xfId="5" applyFont="1"/>
    <xf numFmtId="0" fontId="88" fillId="38" borderId="43" xfId="5" applyFont="1" applyFill="1" applyBorder="1" applyAlignment="1">
      <alignment horizontal="center" vertical="center" wrapText="1"/>
    </xf>
    <xf numFmtId="0" fontId="88" fillId="38" borderId="46" xfId="5" applyFont="1" applyFill="1" applyBorder="1" applyAlignment="1">
      <alignment horizontal="center" vertical="center" wrapText="1"/>
    </xf>
    <xf numFmtId="0" fontId="88" fillId="38" borderId="44" xfId="5" applyFont="1" applyFill="1" applyBorder="1" applyAlignment="1">
      <alignment horizontal="center" vertical="center" wrapText="1"/>
    </xf>
    <xf numFmtId="0" fontId="88" fillId="38" borderId="45" xfId="5" applyFont="1" applyFill="1" applyBorder="1" applyAlignment="1">
      <alignment horizontal="center" vertical="center" wrapText="1"/>
    </xf>
    <xf numFmtId="0" fontId="57" fillId="38" borderId="44" xfId="5" applyFont="1" applyFill="1" applyBorder="1" applyAlignment="1">
      <alignment horizontal="center" vertical="center" wrapText="1"/>
    </xf>
    <xf numFmtId="0" fontId="89" fillId="0" borderId="0" xfId="5" applyFont="1"/>
    <xf numFmtId="0" fontId="87" fillId="41" borderId="114" xfId="5" applyFont="1" applyFill="1" applyBorder="1" applyAlignment="1">
      <alignment horizontal="center" vertical="center"/>
    </xf>
    <xf numFmtId="0" fontId="87" fillId="41" borderId="114" xfId="5" applyFont="1" applyFill="1" applyBorder="1" applyAlignment="1">
      <alignment horizontal="left" vertical="center"/>
    </xf>
    <xf numFmtId="3" fontId="87" fillId="41" borderId="115" xfId="5" applyNumberFormat="1" applyFont="1" applyFill="1" applyBorder="1" applyAlignment="1">
      <alignment horizontal="right" vertical="center"/>
    </xf>
    <xf numFmtId="3" fontId="87" fillId="41" borderId="116" xfId="5" applyNumberFormat="1" applyFont="1" applyFill="1" applyBorder="1" applyAlignment="1">
      <alignment horizontal="right" vertical="center"/>
    </xf>
    <xf numFmtId="3" fontId="87" fillId="41" borderId="117" xfId="5" applyNumberFormat="1" applyFont="1" applyFill="1" applyBorder="1" applyAlignment="1">
      <alignment horizontal="right" vertical="center"/>
    </xf>
    <xf numFmtId="0" fontId="87" fillId="41" borderId="117" xfId="5" applyFont="1" applyFill="1" applyBorder="1" applyAlignment="1">
      <alignment horizontal="center" vertical="center"/>
    </xf>
    <xf numFmtId="3" fontId="63" fillId="41" borderId="117" xfId="5" applyNumberFormat="1" applyFont="1" applyFill="1" applyBorder="1" applyAlignment="1">
      <alignment horizontal="right" vertical="center"/>
    </xf>
    <xf numFmtId="3" fontId="87" fillId="41" borderId="118" xfId="5" applyNumberFormat="1" applyFont="1" applyFill="1" applyBorder="1" applyAlignment="1">
      <alignment horizontal="right" vertical="center"/>
    </xf>
    <xf numFmtId="0" fontId="87" fillId="41" borderId="119" xfId="5" applyFont="1" applyFill="1" applyBorder="1" applyAlignment="1">
      <alignment horizontal="center" vertical="center"/>
    </xf>
    <xf numFmtId="0" fontId="87" fillId="41" borderId="119" xfId="5" applyFont="1" applyFill="1" applyBorder="1" applyAlignment="1">
      <alignment horizontal="left" vertical="center"/>
    </xf>
    <xf numFmtId="3" fontId="87" fillId="41" borderId="120" xfId="5" applyNumberFormat="1" applyFont="1" applyFill="1" applyBorder="1" applyAlignment="1">
      <alignment horizontal="right" vertical="center"/>
    </xf>
    <xf numFmtId="3" fontId="87" fillId="41" borderId="121" xfId="5" applyNumberFormat="1" applyFont="1" applyFill="1" applyBorder="1" applyAlignment="1">
      <alignment horizontal="right" vertical="center"/>
    </xf>
    <xf numFmtId="3" fontId="87" fillId="41" borderId="119" xfId="5" applyNumberFormat="1" applyFont="1" applyFill="1" applyBorder="1" applyAlignment="1">
      <alignment horizontal="right" vertical="center"/>
    </xf>
    <xf numFmtId="3" fontId="63" fillId="41" borderId="119" xfId="5" applyNumberFormat="1" applyFont="1" applyFill="1" applyBorder="1" applyAlignment="1">
      <alignment horizontal="right" vertical="center"/>
    </xf>
    <xf numFmtId="0" fontId="87" fillId="41" borderId="122" xfId="5" applyFont="1" applyFill="1" applyBorder="1" applyAlignment="1">
      <alignment horizontal="center" vertical="center"/>
    </xf>
    <xf numFmtId="0" fontId="87" fillId="41" borderId="122" xfId="5" applyFont="1" applyFill="1" applyBorder="1" applyAlignment="1">
      <alignment horizontal="left" vertical="center"/>
    </xf>
    <xf numFmtId="3" fontId="87" fillId="41" borderId="123" xfId="5" applyNumberFormat="1" applyFont="1" applyFill="1" applyBorder="1" applyAlignment="1">
      <alignment horizontal="right" vertical="center"/>
    </xf>
    <xf numFmtId="3" fontId="87" fillId="41" borderId="124" xfId="5" applyNumberFormat="1" applyFont="1" applyFill="1" applyBorder="1" applyAlignment="1">
      <alignment horizontal="right" vertical="center"/>
    </xf>
    <xf numFmtId="3" fontId="87" fillId="41" borderId="122" xfId="5" applyNumberFormat="1" applyFont="1" applyFill="1" applyBorder="1" applyAlignment="1">
      <alignment horizontal="right" vertical="center"/>
    </xf>
    <xf numFmtId="3" fontId="63" fillId="41" borderId="122" xfId="5" applyNumberFormat="1" applyFont="1" applyFill="1" applyBorder="1" applyAlignment="1">
      <alignment horizontal="right" vertical="center"/>
    </xf>
    <xf numFmtId="3" fontId="87" fillId="10" borderId="16" xfId="5" applyNumberFormat="1" applyFont="1" applyFill="1" applyBorder="1" applyAlignment="1">
      <alignment horizontal="right" vertical="center"/>
    </xf>
    <xf numFmtId="3" fontId="87" fillId="10" borderId="17" xfId="5" applyNumberFormat="1" applyFont="1" applyFill="1" applyBorder="1" applyAlignment="1">
      <alignment horizontal="right" vertical="center"/>
    </xf>
    <xf numFmtId="3" fontId="87" fillId="10" borderId="18" xfId="5" applyNumberFormat="1" applyFont="1" applyFill="1" applyBorder="1" applyAlignment="1">
      <alignment horizontal="right" vertical="center"/>
    </xf>
    <xf numFmtId="3" fontId="87" fillId="10" borderId="18" xfId="5" applyNumberFormat="1" applyFont="1" applyFill="1" applyBorder="1" applyAlignment="1">
      <alignment horizontal="center" vertical="center"/>
    </xf>
    <xf numFmtId="3" fontId="63" fillId="10" borderId="18" xfId="5" applyNumberFormat="1" applyFont="1" applyFill="1" applyBorder="1" applyAlignment="1">
      <alignment horizontal="right" vertical="center"/>
    </xf>
    <xf numFmtId="0" fontId="87" fillId="41" borderId="117" xfId="5" applyFont="1" applyFill="1" applyBorder="1" applyAlignment="1">
      <alignment horizontal="left" vertical="center"/>
    </xf>
    <xf numFmtId="3" fontId="87" fillId="27" borderId="51" xfId="5" applyNumberFormat="1" applyFont="1" applyFill="1" applyBorder="1" applyAlignment="1">
      <alignment horizontal="right" vertical="center"/>
    </xf>
    <xf numFmtId="3" fontId="87" fillId="27" borderId="39" xfId="5" applyNumberFormat="1" applyFont="1" applyFill="1" applyBorder="1" applyAlignment="1">
      <alignment horizontal="right" vertical="center"/>
    </xf>
    <xf numFmtId="3" fontId="87" fillId="27" borderId="26" xfId="5" applyNumberFormat="1" applyFont="1" applyFill="1" applyBorder="1" applyAlignment="1">
      <alignment horizontal="right" vertical="center"/>
    </xf>
    <xf numFmtId="3" fontId="87" fillId="27" borderId="26" xfId="5" applyNumberFormat="1" applyFont="1" applyFill="1" applyBorder="1" applyAlignment="1">
      <alignment horizontal="center" vertical="center"/>
    </xf>
    <xf numFmtId="3" fontId="63" fillId="27" borderId="26" xfId="5" applyNumberFormat="1" applyFont="1" applyFill="1" applyBorder="1" applyAlignment="1">
      <alignment horizontal="right" vertical="center"/>
    </xf>
    <xf numFmtId="3" fontId="92" fillId="54" borderId="16" xfId="5" applyNumberFormat="1" applyFont="1" applyFill="1" applyBorder="1" applyAlignment="1">
      <alignment horizontal="right" vertical="center"/>
    </xf>
    <xf numFmtId="3" fontId="92" fillId="54" borderId="17" xfId="5" applyNumberFormat="1" applyFont="1" applyFill="1" applyBorder="1" applyAlignment="1">
      <alignment horizontal="right" vertical="center"/>
    </xf>
    <xf numFmtId="3" fontId="92" fillId="54" borderId="18" xfId="5" applyNumberFormat="1" applyFont="1" applyFill="1" applyBorder="1" applyAlignment="1">
      <alignment horizontal="right" vertical="center"/>
    </xf>
    <xf numFmtId="3" fontId="92" fillId="54" borderId="18" xfId="5" applyNumberFormat="1" applyFont="1" applyFill="1" applyBorder="1" applyAlignment="1">
      <alignment horizontal="center" vertical="center"/>
    </xf>
    <xf numFmtId="3" fontId="72" fillId="54" borderId="18" xfId="5" applyNumberFormat="1" applyFont="1" applyFill="1" applyBorder="1" applyAlignment="1">
      <alignment horizontal="right" vertical="center"/>
    </xf>
    <xf numFmtId="0" fontId="91" fillId="41" borderId="125" xfId="5" applyFont="1" applyFill="1" applyBorder="1" applyAlignment="1">
      <alignment horizontal="center" vertical="center" wrapText="1"/>
    </xf>
    <xf numFmtId="0" fontId="88" fillId="10" borderId="117" xfId="5" applyFont="1" applyFill="1" applyBorder="1" applyAlignment="1">
      <alignment horizontal="center" vertical="center" wrapText="1"/>
    </xf>
    <xf numFmtId="3" fontId="87" fillId="41" borderId="22" xfId="5" applyNumberFormat="1" applyFont="1" applyFill="1" applyBorder="1" applyAlignment="1">
      <alignment horizontal="right" vertical="center"/>
    </xf>
    <xf numFmtId="3" fontId="87" fillId="41" borderId="23" xfId="5" applyNumberFormat="1" applyFont="1" applyFill="1" applyBorder="1" applyAlignment="1">
      <alignment horizontal="right" vertical="center"/>
    </xf>
    <xf numFmtId="3" fontId="87" fillId="41" borderId="15" xfId="5" applyNumberFormat="1" applyFont="1" applyFill="1" applyBorder="1" applyAlignment="1">
      <alignment horizontal="right" vertical="center"/>
    </xf>
    <xf numFmtId="0" fontId="87" fillId="41" borderId="15" xfId="5" applyFont="1" applyFill="1" applyBorder="1" applyAlignment="1">
      <alignment horizontal="center" vertical="center"/>
    </xf>
    <xf numFmtId="3" fontId="63" fillId="41" borderId="15" xfId="5" applyNumberFormat="1" applyFont="1" applyFill="1" applyBorder="1" applyAlignment="1">
      <alignment horizontal="right" vertical="center"/>
    </xf>
    <xf numFmtId="0" fontId="88" fillId="55" borderId="18" xfId="5" applyFont="1" applyFill="1" applyBorder="1" applyAlignment="1">
      <alignment horizontal="center" vertical="center" wrapText="1"/>
    </xf>
    <xf numFmtId="0" fontId="87" fillId="41" borderId="18" xfId="5" applyFont="1" applyFill="1" applyBorder="1" applyAlignment="1">
      <alignment horizontal="center" vertical="center"/>
    </xf>
    <xf numFmtId="0" fontId="87" fillId="41" borderId="18" xfId="5" applyFont="1" applyFill="1" applyBorder="1" applyAlignment="1">
      <alignment horizontal="left" vertical="center"/>
    </xf>
    <xf numFmtId="3" fontId="87" fillId="41" borderId="16" xfId="5" applyNumberFormat="1" applyFont="1" applyFill="1" applyBorder="1" applyAlignment="1">
      <alignment horizontal="right" vertical="center"/>
    </xf>
    <xf numFmtId="3" fontId="87" fillId="41" borderId="17" xfId="5" applyNumberFormat="1" applyFont="1" applyFill="1" applyBorder="1" applyAlignment="1">
      <alignment horizontal="right" vertical="center"/>
    </xf>
    <xf numFmtId="3" fontId="87" fillId="41" borderId="18" xfId="5" applyNumberFormat="1" applyFont="1" applyFill="1" applyBorder="1" applyAlignment="1">
      <alignment horizontal="right" vertical="center"/>
    </xf>
    <xf numFmtId="3" fontId="63" fillId="41" borderId="18" xfId="5" applyNumberFormat="1" applyFont="1" applyFill="1" applyBorder="1" applyAlignment="1">
      <alignment horizontal="right" vertical="center"/>
    </xf>
    <xf numFmtId="3" fontId="87" fillId="27" borderId="16" xfId="5" applyNumberFormat="1" applyFont="1" applyFill="1" applyBorder="1" applyAlignment="1">
      <alignment horizontal="right" vertical="center"/>
    </xf>
    <xf numFmtId="3" fontId="87" fillId="27" borderId="17" xfId="5" applyNumberFormat="1" applyFont="1" applyFill="1" applyBorder="1" applyAlignment="1">
      <alignment horizontal="right" vertical="center"/>
    </xf>
    <xf numFmtId="3" fontId="87" fillId="27" borderId="18" xfId="5" applyNumberFormat="1" applyFont="1" applyFill="1" applyBorder="1" applyAlignment="1">
      <alignment horizontal="right" vertical="center"/>
    </xf>
    <xf numFmtId="3" fontId="87" fillId="27" borderId="18" xfId="5" applyNumberFormat="1" applyFont="1" applyFill="1" applyBorder="1" applyAlignment="1">
      <alignment horizontal="center" vertical="center"/>
    </xf>
    <xf numFmtId="3" fontId="63" fillId="27" borderId="18" xfId="5" applyNumberFormat="1" applyFont="1" applyFill="1" applyBorder="1" applyAlignment="1">
      <alignment horizontal="right" vertical="center"/>
    </xf>
    <xf numFmtId="0" fontId="87" fillId="41" borderId="15" xfId="5" applyFont="1" applyFill="1" applyBorder="1" applyAlignment="1">
      <alignment horizontal="left" vertical="center"/>
    </xf>
    <xf numFmtId="3" fontId="87" fillId="20" borderId="16" xfId="5" applyNumberFormat="1" applyFont="1" applyFill="1" applyBorder="1" applyAlignment="1">
      <alignment horizontal="right" vertical="center"/>
    </xf>
    <xf numFmtId="3" fontId="87" fillId="20" borderId="17" xfId="5" applyNumberFormat="1" applyFont="1" applyFill="1" applyBorder="1" applyAlignment="1">
      <alignment horizontal="right" vertical="center"/>
    </xf>
    <xf numFmtId="3" fontId="87" fillId="20" borderId="18" xfId="5" applyNumberFormat="1" applyFont="1" applyFill="1" applyBorder="1" applyAlignment="1">
      <alignment horizontal="right" vertical="center"/>
    </xf>
    <xf numFmtId="3" fontId="87" fillId="20" borderId="18" xfId="5" applyNumberFormat="1" applyFont="1" applyFill="1" applyBorder="1" applyAlignment="1">
      <alignment horizontal="center" vertical="center"/>
    </xf>
    <xf numFmtId="3" fontId="63" fillId="20" borderId="18" xfId="5" applyNumberFormat="1" applyFont="1" applyFill="1" applyBorder="1" applyAlignment="1">
      <alignment horizontal="right" vertical="center"/>
    </xf>
    <xf numFmtId="0" fontId="87" fillId="56" borderId="117" xfId="5" applyFont="1" applyFill="1" applyBorder="1" applyAlignment="1">
      <alignment horizontal="center" vertical="center"/>
    </xf>
    <xf numFmtId="0" fontId="87" fillId="56" borderId="117" xfId="5" applyFont="1" applyFill="1" applyBorder="1" applyAlignment="1">
      <alignment horizontal="left" vertical="center"/>
    </xf>
    <xf numFmtId="3" fontId="87" fillId="56" borderId="22" xfId="5" applyNumberFormat="1" applyFont="1" applyFill="1" applyBorder="1" applyAlignment="1">
      <alignment horizontal="right" vertical="center"/>
    </xf>
    <xf numFmtId="3" fontId="93" fillId="56" borderId="23" xfId="5" applyNumberFormat="1" applyFont="1" applyFill="1" applyBorder="1" applyAlignment="1">
      <alignment horizontal="right" vertical="center"/>
    </xf>
    <xf numFmtId="3" fontId="93" fillId="56" borderId="15" xfId="5" applyNumberFormat="1" applyFont="1" applyFill="1" applyBorder="1" applyAlignment="1">
      <alignment horizontal="right" vertical="center"/>
    </xf>
    <xf numFmtId="3" fontId="87" fillId="56" borderId="15" xfId="5" applyNumberFormat="1" applyFont="1" applyFill="1" applyBorder="1" applyAlignment="1">
      <alignment horizontal="right" vertical="center"/>
    </xf>
    <xf numFmtId="0" fontId="87" fillId="56" borderId="15" xfId="5" applyFont="1" applyFill="1" applyBorder="1" applyAlignment="1">
      <alignment horizontal="center" vertical="center"/>
    </xf>
    <xf numFmtId="3" fontId="63" fillId="56" borderId="15" xfId="5" applyNumberFormat="1" applyFont="1" applyFill="1" applyBorder="1" applyAlignment="1">
      <alignment horizontal="right" vertical="center"/>
    </xf>
    <xf numFmtId="0" fontId="87" fillId="56" borderId="119" xfId="5" applyFont="1" applyFill="1" applyBorder="1" applyAlignment="1">
      <alignment horizontal="center" vertical="center"/>
    </xf>
    <xf numFmtId="0" fontId="87" fillId="56" borderId="119" xfId="5" applyFont="1" applyFill="1" applyBorder="1" applyAlignment="1">
      <alignment horizontal="left" vertical="center"/>
    </xf>
    <xf numFmtId="14" fontId="87" fillId="56" borderId="119" xfId="5" applyNumberFormat="1" applyFont="1" applyFill="1" applyBorder="1" applyAlignment="1">
      <alignment horizontal="center" vertical="center"/>
    </xf>
    <xf numFmtId="3" fontId="87" fillId="56" borderId="120" xfId="5" applyNumberFormat="1" applyFont="1" applyFill="1" applyBorder="1" applyAlignment="1">
      <alignment horizontal="right" vertical="center"/>
    </xf>
    <xf numFmtId="3" fontId="87" fillId="56" borderId="121" xfId="5" applyNumberFormat="1" applyFont="1" applyFill="1" applyBorder="1" applyAlignment="1">
      <alignment horizontal="right" vertical="center"/>
    </xf>
    <xf numFmtId="3" fontId="87" fillId="56" borderId="119" xfId="5" applyNumberFormat="1" applyFont="1" applyFill="1" applyBorder="1" applyAlignment="1">
      <alignment horizontal="right" vertical="center"/>
    </xf>
    <xf numFmtId="3" fontId="63" fillId="56" borderId="119" xfId="5" applyNumberFormat="1" applyFont="1" applyFill="1" applyBorder="1" applyAlignment="1">
      <alignment horizontal="right" vertical="center"/>
    </xf>
    <xf numFmtId="3" fontId="94" fillId="54" borderId="16" xfId="5" applyNumberFormat="1" applyFont="1" applyFill="1" applyBorder="1" applyAlignment="1">
      <alignment horizontal="right" vertical="center"/>
    </xf>
    <xf numFmtId="3" fontId="94" fillId="54" borderId="17" xfId="5" applyNumberFormat="1" applyFont="1" applyFill="1" applyBorder="1" applyAlignment="1">
      <alignment horizontal="right" vertical="center"/>
    </xf>
    <xf numFmtId="3" fontId="94" fillId="54" borderId="18" xfId="5" applyNumberFormat="1" applyFont="1" applyFill="1" applyBorder="1" applyAlignment="1">
      <alignment horizontal="right" vertical="center"/>
    </xf>
    <xf numFmtId="3" fontId="94" fillId="54" borderId="18" xfId="5" applyNumberFormat="1" applyFont="1" applyFill="1" applyBorder="1" applyAlignment="1">
      <alignment horizontal="center" vertical="center"/>
    </xf>
    <xf numFmtId="3" fontId="92" fillId="40" borderId="29" xfId="5" applyNumberFormat="1" applyFont="1" applyFill="1" applyBorder="1" applyAlignment="1">
      <alignment horizontal="right" vertical="center"/>
    </xf>
    <xf numFmtId="3" fontId="92" fillId="40" borderId="30" xfId="5" applyNumberFormat="1" applyFont="1" applyFill="1" applyBorder="1" applyAlignment="1">
      <alignment horizontal="right" vertical="center"/>
    </xf>
    <xf numFmtId="3" fontId="92" fillId="40" borderId="31" xfId="5" applyNumberFormat="1" applyFont="1" applyFill="1" applyBorder="1" applyAlignment="1">
      <alignment horizontal="right" vertical="center"/>
    </xf>
    <xf numFmtId="0" fontId="92" fillId="40" borderId="31" xfId="5" applyFont="1" applyFill="1" applyBorder="1" applyAlignment="1">
      <alignment horizontal="center" vertical="center"/>
    </xf>
    <xf numFmtId="3" fontId="62" fillId="40" borderId="31" xfId="5" applyNumberFormat="1" applyFont="1" applyFill="1" applyBorder="1" applyAlignment="1">
      <alignment horizontal="right" vertical="center"/>
    </xf>
    <xf numFmtId="0" fontId="87" fillId="10" borderId="18" xfId="5" applyFont="1" applyFill="1" applyBorder="1" applyAlignment="1">
      <alignment horizontal="center" vertical="center"/>
    </xf>
    <xf numFmtId="0" fontId="87" fillId="27" borderId="18" xfId="5" applyFont="1" applyFill="1" applyBorder="1" applyAlignment="1">
      <alignment horizontal="center" vertical="center"/>
    </xf>
    <xf numFmtId="185" fontId="92" fillId="54" borderId="18" xfId="5" applyNumberFormat="1" applyFont="1" applyFill="1" applyBorder="1" applyAlignment="1">
      <alignment horizontal="center" vertical="center"/>
    </xf>
    <xf numFmtId="3" fontId="87" fillId="55" borderId="16" xfId="5" applyNumberFormat="1" applyFont="1" applyFill="1" applyBorder="1" applyAlignment="1">
      <alignment horizontal="right" vertical="center"/>
    </xf>
    <xf numFmtId="3" fontId="87" fillId="55" borderId="17" xfId="5" applyNumberFormat="1" applyFont="1" applyFill="1" applyBorder="1" applyAlignment="1">
      <alignment horizontal="right" vertical="center"/>
    </xf>
    <xf numFmtId="3" fontId="87" fillId="55" borderId="18" xfId="5" applyNumberFormat="1" applyFont="1" applyFill="1" applyBorder="1" applyAlignment="1">
      <alignment horizontal="right" vertical="center"/>
    </xf>
    <xf numFmtId="0" fontId="87" fillId="55" borderId="18" xfId="5" applyFont="1" applyFill="1" applyBorder="1" applyAlignment="1">
      <alignment horizontal="center" vertical="center"/>
    </xf>
    <xf numFmtId="3" fontId="63" fillId="55" borderId="18" xfId="5" applyNumberFormat="1" applyFont="1" applyFill="1" applyBorder="1" applyAlignment="1">
      <alignment horizontal="right" vertical="center"/>
    </xf>
    <xf numFmtId="186" fontId="87" fillId="10" borderId="18" xfId="5" applyNumberFormat="1" applyFont="1" applyFill="1" applyBorder="1" applyAlignment="1">
      <alignment horizontal="center" vertical="center"/>
    </xf>
    <xf numFmtId="3" fontId="88" fillId="38" borderId="30" xfId="5" applyNumberFormat="1" applyFont="1" applyFill="1" applyBorder="1" applyAlignment="1">
      <alignment horizontal="right" vertical="center"/>
    </xf>
    <xf numFmtId="3" fontId="88" fillId="38" borderId="31" xfId="5" applyNumberFormat="1" applyFont="1" applyFill="1" applyBorder="1" applyAlignment="1">
      <alignment horizontal="right" vertical="center"/>
    </xf>
    <xf numFmtId="0" fontId="88" fillId="38" borderId="31" xfId="5" applyFont="1" applyFill="1" applyBorder="1" applyAlignment="1">
      <alignment horizontal="center" vertical="center"/>
    </xf>
    <xf numFmtId="3" fontId="59" fillId="38" borderId="31" xfId="5" applyNumberFormat="1" applyFont="1" applyFill="1" applyBorder="1" applyAlignment="1">
      <alignment horizontal="center" vertical="center"/>
    </xf>
    <xf numFmtId="3" fontId="57" fillId="21" borderId="31" xfId="5" applyNumberFormat="1" applyFont="1" applyFill="1" applyBorder="1" applyAlignment="1">
      <alignment horizontal="right" vertical="center"/>
    </xf>
    <xf numFmtId="3" fontId="88" fillId="38" borderId="29" xfId="5" applyNumberFormat="1" applyFont="1" applyFill="1" applyBorder="1" applyAlignment="1">
      <alignment horizontal="right" vertical="center"/>
    </xf>
    <xf numFmtId="0" fontId="52" fillId="0" borderId="0" xfId="5" applyFont="1" applyAlignment="1">
      <alignment vertical="center"/>
    </xf>
    <xf numFmtId="0" fontId="88" fillId="38" borderId="56" xfId="5" applyFont="1" applyFill="1" applyBorder="1" applyAlignment="1">
      <alignment horizontal="center" vertical="center" wrapText="1"/>
    </xf>
    <xf numFmtId="0" fontId="88" fillId="38" borderId="57" xfId="5" applyFont="1" applyFill="1" applyBorder="1" applyAlignment="1">
      <alignment horizontal="center" vertical="center" wrapText="1"/>
    </xf>
    <xf numFmtId="0" fontId="88" fillId="38" borderId="54" xfId="5" applyFont="1" applyFill="1" applyBorder="1" applyAlignment="1">
      <alignment horizontal="center" vertical="center" wrapText="1"/>
    </xf>
    <xf numFmtId="0" fontId="88" fillId="38" borderId="55" xfId="5" applyFont="1" applyFill="1" applyBorder="1" applyAlignment="1">
      <alignment horizontal="center" vertical="center" wrapText="1"/>
    </xf>
    <xf numFmtId="0" fontId="57" fillId="38" borderId="54" xfId="5" applyFont="1" applyFill="1" applyBorder="1" applyAlignment="1">
      <alignment horizontal="center" vertical="center" wrapText="1"/>
    </xf>
    <xf numFmtId="0" fontId="88" fillId="0" borderId="0" xfId="5" applyFont="1"/>
    <xf numFmtId="0" fontId="90" fillId="0" borderId="74" xfId="5" applyFont="1" applyBorder="1" applyAlignment="1">
      <alignment vertical="center" wrapText="1"/>
    </xf>
    <xf numFmtId="0" fontId="91" fillId="0" borderId="17" xfId="5" applyFont="1" applyBorder="1" applyAlignment="1">
      <alignment horizontal="center" vertical="center" wrapText="1"/>
    </xf>
    <xf numFmtId="3" fontId="93" fillId="55" borderId="16" xfId="5" applyNumberFormat="1" applyFont="1" applyFill="1" applyBorder="1" applyAlignment="1">
      <alignment horizontal="right" vertical="center"/>
    </xf>
    <xf numFmtId="3" fontId="93" fillId="55" borderId="17" xfId="5" applyNumberFormat="1" applyFont="1" applyFill="1" applyBorder="1" applyAlignment="1">
      <alignment horizontal="right" vertical="center"/>
    </xf>
    <xf numFmtId="3" fontId="93" fillId="55" borderId="18" xfId="5" applyNumberFormat="1" applyFont="1" applyFill="1" applyBorder="1" applyAlignment="1">
      <alignment horizontal="right" vertical="center"/>
    </xf>
    <xf numFmtId="0" fontId="93" fillId="55" borderId="18" xfId="5" applyFont="1" applyFill="1" applyBorder="1" applyAlignment="1">
      <alignment horizontal="center" vertical="center"/>
    </xf>
    <xf numFmtId="0" fontId="87" fillId="20" borderId="18" xfId="5" applyFont="1" applyFill="1" applyBorder="1" applyAlignment="1">
      <alignment horizontal="center" vertical="center"/>
    </xf>
    <xf numFmtId="3" fontId="92" fillId="40" borderId="51" xfId="5" applyNumberFormat="1" applyFont="1" applyFill="1" applyBorder="1" applyAlignment="1">
      <alignment horizontal="right" vertical="center"/>
    </xf>
    <xf numFmtId="3" fontId="92" fillId="40" borderId="39" xfId="5" applyNumberFormat="1" applyFont="1" applyFill="1" applyBorder="1" applyAlignment="1">
      <alignment horizontal="right" vertical="center"/>
    </xf>
    <xf numFmtId="3" fontId="92" fillId="40" borderId="26" xfId="5" applyNumberFormat="1" applyFont="1" applyFill="1" applyBorder="1" applyAlignment="1">
      <alignment horizontal="right" vertical="center"/>
    </xf>
    <xf numFmtId="0" fontId="92" fillId="40" borderId="26" xfId="5" applyFont="1" applyFill="1" applyBorder="1" applyAlignment="1">
      <alignment horizontal="center" vertical="center"/>
    </xf>
    <xf numFmtId="3" fontId="72" fillId="40" borderId="26" xfId="5" applyNumberFormat="1" applyFont="1" applyFill="1" applyBorder="1" applyAlignment="1">
      <alignment horizontal="right" vertical="center"/>
    </xf>
    <xf numFmtId="3" fontId="87" fillId="41" borderId="144" xfId="5" applyNumberFormat="1" applyFont="1" applyFill="1" applyBorder="1" applyAlignment="1">
      <alignment horizontal="right" vertical="center"/>
    </xf>
    <xf numFmtId="3" fontId="87" fillId="41" borderId="114" xfId="5" applyNumberFormat="1" applyFont="1" applyFill="1" applyBorder="1" applyAlignment="1">
      <alignment horizontal="right" vertical="center"/>
    </xf>
    <xf numFmtId="3" fontId="63" fillId="41" borderId="114" xfId="5" applyNumberFormat="1" applyFont="1" applyFill="1" applyBorder="1" applyAlignment="1">
      <alignment horizontal="right" vertical="center"/>
    </xf>
    <xf numFmtId="3" fontId="72" fillId="40" borderId="31" xfId="5" applyNumberFormat="1" applyFont="1" applyFill="1" applyBorder="1" applyAlignment="1">
      <alignment horizontal="right" vertical="center"/>
    </xf>
    <xf numFmtId="3" fontId="88" fillId="38" borderId="50" xfId="5" applyNumberFormat="1" applyFont="1" applyFill="1" applyBorder="1"/>
    <xf numFmtId="3" fontId="57" fillId="38" borderId="31" xfId="5" applyNumberFormat="1" applyFont="1" applyFill="1" applyBorder="1" applyAlignment="1">
      <alignment horizontal="center" vertical="center"/>
    </xf>
    <xf numFmtId="3" fontId="57" fillId="38" borderId="31" xfId="5" applyNumberFormat="1" applyFont="1" applyFill="1" applyBorder="1" applyAlignment="1">
      <alignment horizontal="right" vertical="center"/>
    </xf>
    <xf numFmtId="180" fontId="53" fillId="0" borderId="57" xfId="0" applyNumberFormat="1" applyFont="1" applyBorder="1" applyAlignment="1">
      <alignment horizontal="center" vertical="center"/>
    </xf>
    <xf numFmtId="0" fontId="53" fillId="0" borderId="54" xfId="0" applyFont="1" applyBorder="1" applyAlignment="1">
      <alignment horizontal="left" vertical="center"/>
    </xf>
    <xf numFmtId="3" fontId="53" fillId="0" borderId="54" xfId="0" applyNumberFormat="1" applyFont="1" applyBorder="1" applyAlignment="1">
      <alignment horizontal="right" vertical="center"/>
    </xf>
    <xf numFmtId="0" fontId="0" fillId="0" borderId="5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56" fillId="0" borderId="16" xfId="0" applyFont="1" applyBorder="1" applyAlignment="1">
      <alignment horizontal="center" vertical="center" wrapText="1"/>
    </xf>
    <xf numFmtId="0" fontId="0" fillId="15" borderId="16" xfId="0" applyFill="1" applyBorder="1" applyAlignment="1">
      <alignment horizontal="left" vertical="center"/>
    </xf>
    <xf numFmtId="0" fontId="56" fillId="15" borderId="16" xfId="0" applyFont="1" applyFill="1" applyBorder="1" applyAlignment="1">
      <alignment horizontal="center" vertical="center" wrapText="1"/>
    </xf>
    <xf numFmtId="180" fontId="53" fillId="15" borderId="65" xfId="0" applyNumberFormat="1" applyFont="1" applyFill="1" applyBorder="1" applyAlignment="1">
      <alignment horizontal="center" vertical="center"/>
    </xf>
    <xf numFmtId="0" fontId="53" fillId="15" borderId="42" xfId="0" applyFont="1" applyFill="1" applyBorder="1" applyAlignment="1">
      <alignment horizontal="left" vertical="center"/>
    </xf>
    <xf numFmtId="3" fontId="53" fillId="15" borderId="42" xfId="0" applyNumberFormat="1" applyFont="1" applyFill="1" applyBorder="1" applyAlignment="1">
      <alignment horizontal="right" vertical="center"/>
    </xf>
    <xf numFmtId="0" fontId="0" fillId="15" borderId="29" xfId="0" applyFill="1" applyBorder="1" applyAlignment="1">
      <alignment horizontal="left" vertical="center"/>
    </xf>
    <xf numFmtId="0" fontId="2" fillId="0" borderId="5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9" fillId="15" borderId="31" xfId="0" applyFont="1" applyFill="1" applyBorder="1" applyAlignment="1">
      <alignment horizontal="center" vertical="center"/>
    </xf>
    <xf numFmtId="177" fontId="7" fillId="57" borderId="17" xfId="0" applyNumberFormat="1" applyFont="1" applyFill="1" applyBorder="1" applyAlignment="1">
      <alignment horizontal="right" vertical="center"/>
    </xf>
    <xf numFmtId="10" fontId="14" fillId="57" borderId="18" xfId="0" applyNumberFormat="1" applyFont="1" applyFill="1" applyBorder="1" applyAlignment="1">
      <alignment horizontal="center" vertical="center"/>
    </xf>
    <xf numFmtId="177" fontId="7" fillId="57" borderId="19" xfId="0" applyNumberFormat="1" applyFont="1" applyFill="1" applyBorder="1" applyAlignment="1">
      <alignment horizontal="right" vertical="center"/>
    </xf>
    <xf numFmtId="10" fontId="14" fillId="57" borderId="19" xfId="0" applyNumberFormat="1" applyFont="1" applyFill="1" applyBorder="1" applyAlignment="1">
      <alignment horizontal="center" vertical="center"/>
    </xf>
    <xf numFmtId="177" fontId="5" fillId="57" borderId="20" xfId="0" applyNumberFormat="1" applyFont="1" applyFill="1" applyBorder="1" applyAlignment="1">
      <alignment horizontal="right" vertical="center"/>
    </xf>
    <xf numFmtId="10" fontId="14" fillId="57" borderId="17" xfId="0" applyNumberFormat="1" applyFont="1" applyFill="1" applyBorder="1" applyAlignment="1">
      <alignment horizontal="center" vertical="center"/>
    </xf>
    <xf numFmtId="177" fontId="5" fillId="57" borderId="37" xfId="0" applyNumberFormat="1" applyFont="1" applyFill="1" applyBorder="1" applyAlignment="1">
      <alignment horizontal="right" vertical="center"/>
    </xf>
    <xf numFmtId="10" fontId="8" fillId="57" borderId="21" xfId="0" applyNumberFormat="1" applyFont="1" applyFill="1" applyBorder="1" applyAlignment="1">
      <alignment horizontal="center" vertical="center"/>
    </xf>
    <xf numFmtId="0" fontId="5" fillId="57" borderId="27" xfId="0" applyFont="1" applyFill="1" applyBorder="1" applyAlignment="1">
      <alignment horizontal="center" vertical="center"/>
    </xf>
    <xf numFmtId="0" fontId="5" fillId="57" borderId="92" xfId="0" applyFont="1" applyFill="1" applyBorder="1" applyAlignment="1">
      <alignment horizontal="center" vertical="center"/>
    </xf>
    <xf numFmtId="0" fontId="7" fillId="57" borderId="18" xfId="0" applyFont="1" applyFill="1" applyBorder="1">
      <alignment vertical="center"/>
    </xf>
    <xf numFmtId="177" fontId="13" fillId="0" borderId="17" xfId="0" applyNumberFormat="1" applyFont="1" applyBorder="1">
      <alignment vertical="center"/>
    </xf>
    <xf numFmtId="177" fontId="13" fillId="0" borderId="35" xfId="0" applyNumberFormat="1" applyFont="1" applyBorder="1">
      <alignment vertical="center"/>
    </xf>
    <xf numFmtId="0" fontId="7" fillId="9" borderId="26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7" fillId="47" borderId="26" xfId="0" applyFont="1" applyFill="1" applyBorder="1" applyAlignment="1">
      <alignment horizontal="center" vertical="center"/>
    </xf>
    <xf numFmtId="0" fontId="7" fillId="47" borderId="15" xfId="0" applyFont="1" applyFill="1" applyBorder="1" applyAlignment="1">
      <alignment horizontal="center" vertical="center"/>
    </xf>
    <xf numFmtId="0" fontId="7" fillId="47" borderId="13" xfId="0" applyFont="1" applyFill="1" applyBorder="1" applyAlignment="1">
      <alignment horizontal="center" vertical="center"/>
    </xf>
    <xf numFmtId="0" fontId="5" fillId="47" borderId="19" xfId="0" applyFont="1" applyFill="1" applyBorder="1" applyAlignment="1">
      <alignment horizontal="center" vertical="center"/>
    </xf>
    <xf numFmtId="0" fontId="5" fillId="47" borderId="72" xfId="0" applyFont="1" applyFill="1" applyBorder="1" applyAlignment="1">
      <alignment horizontal="center" vertical="center"/>
    </xf>
    <xf numFmtId="0" fontId="5" fillId="47" borderId="21" xfId="0" applyFont="1" applyFill="1" applyBorder="1" applyAlignment="1">
      <alignment horizontal="center" vertical="center"/>
    </xf>
    <xf numFmtId="0" fontId="7" fillId="19" borderId="76" xfId="0" applyFont="1" applyFill="1" applyBorder="1" applyAlignment="1">
      <alignment horizontal="center" vertical="center"/>
    </xf>
    <xf numFmtId="0" fontId="7" fillId="19" borderId="74" xfId="0" applyFont="1" applyFill="1" applyBorder="1" applyAlignment="1">
      <alignment horizontal="center" vertical="center"/>
    </xf>
    <xf numFmtId="0" fontId="7" fillId="19" borderId="61" xfId="0" applyFont="1" applyFill="1" applyBorder="1" applyAlignment="1">
      <alignment horizontal="center" vertical="center"/>
    </xf>
    <xf numFmtId="0" fontId="5" fillId="25" borderId="53" xfId="0" applyFont="1" applyFill="1" applyBorder="1" applyAlignment="1">
      <alignment horizontal="center" vertical="center"/>
    </xf>
    <xf numFmtId="0" fontId="5" fillId="25" borderId="47" xfId="0" applyFont="1" applyFill="1" applyBorder="1" applyAlignment="1">
      <alignment horizontal="center" vertical="center"/>
    </xf>
    <xf numFmtId="0" fontId="5" fillId="25" borderId="50" xfId="0" applyFont="1" applyFill="1" applyBorder="1" applyAlignment="1">
      <alignment horizontal="center" vertical="center"/>
    </xf>
    <xf numFmtId="177" fontId="5" fillId="21" borderId="53" xfId="0" applyNumberFormat="1" applyFont="1" applyFill="1" applyBorder="1" applyAlignment="1">
      <alignment horizontal="center" vertical="center"/>
    </xf>
    <xf numFmtId="177" fontId="5" fillId="21" borderId="47" xfId="0" applyNumberFormat="1" applyFont="1" applyFill="1" applyBorder="1" applyAlignment="1">
      <alignment horizontal="center" vertical="center"/>
    </xf>
    <xf numFmtId="177" fontId="5" fillId="21" borderId="50" xfId="0" applyNumberFormat="1" applyFont="1" applyFill="1" applyBorder="1" applyAlignment="1">
      <alignment horizontal="center" vertical="center"/>
    </xf>
    <xf numFmtId="0" fontId="5" fillId="22" borderId="19" xfId="0" applyFont="1" applyFill="1" applyBorder="1" applyAlignment="1">
      <alignment horizontal="center" vertical="center"/>
    </xf>
    <xf numFmtId="0" fontId="5" fillId="22" borderId="72" xfId="0" applyFont="1" applyFill="1" applyBorder="1" applyAlignment="1">
      <alignment horizontal="center" vertical="center"/>
    </xf>
    <xf numFmtId="0" fontId="5" fillId="22" borderId="17" xfId="0" applyFont="1" applyFill="1" applyBorder="1" applyAlignment="1">
      <alignment horizontal="center" vertical="center"/>
    </xf>
    <xf numFmtId="0" fontId="5" fillId="51" borderId="19" xfId="0" applyFont="1" applyFill="1" applyBorder="1" applyAlignment="1">
      <alignment horizontal="center" vertical="center"/>
    </xf>
    <xf numFmtId="0" fontId="5" fillId="51" borderId="72" xfId="0" applyFont="1" applyFill="1" applyBorder="1" applyAlignment="1">
      <alignment horizontal="center" vertical="center"/>
    </xf>
    <xf numFmtId="0" fontId="5" fillId="51" borderId="17" xfId="0" applyFont="1" applyFill="1" applyBorder="1" applyAlignment="1">
      <alignment horizontal="center" vertical="center"/>
    </xf>
    <xf numFmtId="0" fontId="5" fillId="31" borderId="19" xfId="0" applyFont="1" applyFill="1" applyBorder="1" applyAlignment="1">
      <alignment horizontal="center" vertical="center"/>
    </xf>
    <xf numFmtId="0" fontId="5" fillId="31" borderId="72" xfId="0" applyFont="1" applyFill="1" applyBorder="1" applyAlignment="1">
      <alignment horizontal="center" vertical="center"/>
    </xf>
    <xf numFmtId="0" fontId="5" fillId="31" borderId="1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7" fontId="16" fillId="21" borderId="69" xfId="0" applyNumberFormat="1" applyFont="1" applyFill="1" applyBorder="1" applyAlignment="1">
      <alignment horizontal="center" vertical="center"/>
    </xf>
    <xf numFmtId="177" fontId="16" fillId="21" borderId="70" xfId="0" applyNumberFormat="1" applyFont="1" applyFill="1" applyBorder="1" applyAlignment="1">
      <alignment horizontal="center" vertical="center"/>
    </xf>
    <xf numFmtId="177" fontId="16" fillId="21" borderId="71" xfId="0" applyNumberFormat="1" applyFont="1" applyFill="1" applyBorder="1" applyAlignment="1">
      <alignment horizontal="center" vertical="center"/>
    </xf>
    <xf numFmtId="177" fontId="16" fillId="21" borderId="47" xfId="0" applyNumberFormat="1" applyFont="1" applyFill="1" applyBorder="1" applyAlignment="1">
      <alignment horizontal="center" vertical="center"/>
    </xf>
    <xf numFmtId="177" fontId="16" fillId="21" borderId="50" xfId="0" applyNumberFormat="1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0" fontId="5" fillId="9" borderId="72" xfId="0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0" fontId="5" fillId="30" borderId="53" xfId="0" applyFont="1" applyFill="1" applyBorder="1" applyAlignment="1">
      <alignment horizontal="center" vertical="center"/>
    </xf>
    <xf numFmtId="0" fontId="5" fillId="30" borderId="47" xfId="0" applyFont="1" applyFill="1" applyBorder="1" applyAlignment="1">
      <alignment horizontal="center" vertical="center"/>
    </xf>
    <xf numFmtId="0" fontId="5" fillId="30" borderId="50" xfId="0" applyFont="1" applyFill="1" applyBorder="1" applyAlignment="1">
      <alignment horizontal="center" vertical="center"/>
    </xf>
    <xf numFmtId="177" fontId="5" fillId="19" borderId="66" xfId="0" applyNumberFormat="1" applyFont="1" applyFill="1" applyBorder="1" applyAlignment="1">
      <alignment horizontal="center" vertical="center"/>
    </xf>
    <xf numFmtId="177" fontId="5" fillId="19" borderId="67" xfId="0" applyNumberFormat="1" applyFont="1" applyFill="1" applyBorder="1" applyAlignment="1">
      <alignment horizontal="center" vertical="center"/>
    </xf>
    <xf numFmtId="177" fontId="5" fillId="19" borderId="68" xfId="0" applyNumberFormat="1" applyFont="1" applyFill="1" applyBorder="1" applyAlignment="1">
      <alignment horizontal="center" vertical="center"/>
    </xf>
    <xf numFmtId="0" fontId="7" fillId="29" borderId="13" xfId="0" applyFont="1" applyFill="1" applyBorder="1" applyAlignment="1">
      <alignment horizontal="center" vertical="center"/>
    </xf>
    <xf numFmtId="0" fontId="7" fillId="29" borderId="18" xfId="0" applyFont="1" applyFill="1" applyBorder="1" applyAlignment="1">
      <alignment horizontal="center" vertical="center"/>
    </xf>
    <xf numFmtId="0" fontId="7" fillId="29" borderId="26" xfId="0" applyFont="1" applyFill="1" applyBorder="1" applyAlignment="1">
      <alignment horizontal="center" vertical="center"/>
    </xf>
    <xf numFmtId="0" fontId="5" fillId="29" borderId="53" xfId="0" applyFont="1" applyFill="1" applyBorder="1" applyAlignment="1">
      <alignment horizontal="center" vertical="center"/>
    </xf>
    <xf numFmtId="0" fontId="5" fillId="29" borderId="47" xfId="0" applyFont="1" applyFill="1" applyBorder="1" applyAlignment="1">
      <alignment horizontal="center" vertical="center"/>
    </xf>
    <xf numFmtId="0" fontId="5" fillId="29" borderId="50" xfId="0" applyFont="1" applyFill="1" applyBorder="1" applyAlignment="1">
      <alignment horizontal="center" vertical="center"/>
    </xf>
    <xf numFmtId="0" fontId="7" fillId="29" borderId="61" xfId="0" applyFont="1" applyFill="1" applyBorder="1" applyAlignment="1">
      <alignment horizontal="center" vertical="center"/>
    </xf>
    <xf numFmtId="0" fontId="7" fillId="29" borderId="60" xfId="0" applyFont="1" applyFill="1" applyBorder="1" applyAlignment="1">
      <alignment horizontal="center" vertical="center"/>
    </xf>
    <xf numFmtId="0" fontId="7" fillId="29" borderId="93" xfId="0" applyFont="1" applyFill="1" applyBorder="1" applyAlignment="1">
      <alignment horizontal="center" vertical="center"/>
    </xf>
    <xf numFmtId="0" fontId="5" fillId="43" borderId="19" xfId="0" applyFont="1" applyFill="1" applyBorder="1" applyAlignment="1">
      <alignment horizontal="center" vertical="center"/>
    </xf>
    <xf numFmtId="0" fontId="5" fillId="43" borderId="72" xfId="0" applyFont="1" applyFill="1" applyBorder="1" applyAlignment="1">
      <alignment horizontal="center" vertical="center"/>
    </xf>
    <xf numFmtId="0" fontId="5" fillId="43" borderId="17" xfId="0" applyFont="1" applyFill="1" applyBorder="1" applyAlignment="1">
      <alignment horizontal="center" vertical="center"/>
    </xf>
    <xf numFmtId="0" fontId="5" fillId="26" borderId="19" xfId="0" applyFont="1" applyFill="1" applyBorder="1" applyAlignment="1">
      <alignment horizontal="center" vertical="center"/>
    </xf>
    <xf numFmtId="0" fontId="5" fillId="26" borderId="72" xfId="0" applyFont="1" applyFill="1" applyBorder="1" applyAlignment="1">
      <alignment horizontal="center" vertical="center"/>
    </xf>
    <xf numFmtId="0" fontId="5" fillId="26" borderId="17" xfId="0" applyFont="1" applyFill="1" applyBorder="1" applyAlignment="1">
      <alignment horizontal="center" vertical="center"/>
    </xf>
    <xf numFmtId="0" fontId="5" fillId="49" borderId="19" xfId="0" applyFont="1" applyFill="1" applyBorder="1" applyAlignment="1">
      <alignment horizontal="center" vertical="center"/>
    </xf>
    <xf numFmtId="0" fontId="5" fillId="49" borderId="72" xfId="0" applyFont="1" applyFill="1" applyBorder="1" applyAlignment="1">
      <alignment horizontal="center" vertical="center"/>
    </xf>
    <xf numFmtId="0" fontId="5" fillId="49" borderId="21" xfId="0" applyFont="1" applyFill="1" applyBorder="1" applyAlignment="1">
      <alignment horizontal="center" vertical="center"/>
    </xf>
    <xf numFmtId="0" fontId="7" fillId="46" borderId="15" xfId="0" applyFont="1" applyFill="1" applyBorder="1" applyAlignment="1">
      <alignment horizontal="center" vertical="center"/>
    </xf>
    <xf numFmtId="0" fontId="5" fillId="50" borderId="19" xfId="0" applyFont="1" applyFill="1" applyBorder="1" applyAlignment="1">
      <alignment horizontal="center" vertical="center"/>
    </xf>
    <xf numFmtId="0" fontId="5" fillId="50" borderId="72" xfId="0" applyFont="1" applyFill="1" applyBorder="1" applyAlignment="1">
      <alignment horizontal="center" vertical="center"/>
    </xf>
    <xf numFmtId="0" fontId="5" fillId="50" borderId="17" xfId="0" applyFont="1" applyFill="1" applyBorder="1" applyAlignment="1">
      <alignment horizontal="center" vertical="center"/>
    </xf>
    <xf numFmtId="0" fontId="5" fillId="46" borderId="19" xfId="0" applyFont="1" applyFill="1" applyBorder="1" applyAlignment="1">
      <alignment horizontal="center" vertical="center"/>
    </xf>
    <xf numFmtId="0" fontId="5" fillId="46" borderId="72" xfId="0" applyFont="1" applyFill="1" applyBorder="1" applyAlignment="1">
      <alignment horizontal="center" vertical="center"/>
    </xf>
    <xf numFmtId="0" fontId="5" fillId="46" borderId="21" xfId="0" applyFont="1" applyFill="1" applyBorder="1" applyAlignment="1">
      <alignment horizontal="center" vertical="center"/>
    </xf>
    <xf numFmtId="0" fontId="7" fillId="43" borderId="26" xfId="0" applyFont="1" applyFill="1" applyBorder="1" applyAlignment="1">
      <alignment horizontal="center" vertical="center"/>
    </xf>
    <xf numFmtId="0" fontId="7" fillId="43" borderId="15" xfId="0" applyFont="1" applyFill="1" applyBorder="1" applyAlignment="1">
      <alignment horizontal="center" vertical="center"/>
    </xf>
    <xf numFmtId="0" fontId="7" fillId="50" borderId="26" xfId="0" applyFont="1" applyFill="1" applyBorder="1" applyAlignment="1">
      <alignment horizontal="center" vertical="center"/>
    </xf>
    <xf numFmtId="0" fontId="7" fillId="50" borderId="13" xfId="0" applyFont="1" applyFill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17" borderId="52" xfId="0" applyFont="1" applyFill="1" applyBorder="1" applyAlignment="1">
      <alignment horizontal="center" vertical="center" wrapText="1"/>
    </xf>
    <xf numFmtId="0" fontId="7" fillId="17" borderId="42" xfId="0" applyFont="1" applyFill="1" applyBorder="1" applyAlignment="1">
      <alignment horizontal="center" vertical="center" wrapText="1"/>
    </xf>
    <xf numFmtId="0" fontId="7" fillId="17" borderId="52" xfId="0" applyFont="1" applyFill="1" applyBorder="1" applyAlignment="1">
      <alignment horizontal="center" vertical="center"/>
    </xf>
    <xf numFmtId="0" fontId="7" fillId="17" borderId="42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42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5" fillId="5" borderId="53" xfId="0" applyFont="1" applyFill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0" fontId="5" fillId="5" borderId="50" xfId="0" applyFont="1" applyFill="1" applyBorder="1" applyAlignment="1">
      <alignment horizontal="center" vertical="center"/>
    </xf>
    <xf numFmtId="0" fontId="7" fillId="15" borderId="26" xfId="0" applyFont="1" applyFill="1" applyBorder="1" applyAlignment="1">
      <alignment horizontal="center" vertical="center"/>
    </xf>
    <xf numFmtId="0" fontId="7" fillId="15" borderId="15" xfId="0" applyFont="1" applyFill="1" applyBorder="1" applyAlignment="1">
      <alignment horizontal="center" vertical="center"/>
    </xf>
    <xf numFmtId="0" fontId="7" fillId="15" borderId="13" xfId="0" applyFont="1" applyFill="1" applyBorder="1" applyAlignment="1">
      <alignment horizontal="center" vertical="center"/>
    </xf>
    <xf numFmtId="0" fontId="7" fillId="27" borderId="15" xfId="0" applyFont="1" applyFill="1" applyBorder="1" applyAlignment="1">
      <alignment horizontal="center" vertical="center"/>
    </xf>
    <xf numFmtId="0" fontId="7" fillId="27" borderId="13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5" fillId="16" borderId="43" xfId="0" applyFont="1" applyFill="1" applyBorder="1" applyAlignment="1">
      <alignment horizontal="center" vertical="center"/>
    </xf>
    <xf numFmtId="0" fontId="5" fillId="16" borderId="44" xfId="0" applyFont="1" applyFill="1" applyBorder="1" applyAlignment="1">
      <alignment horizontal="center" vertical="center"/>
    </xf>
    <xf numFmtId="0" fontId="5" fillId="16" borderId="45" xfId="0" applyFont="1" applyFill="1" applyBorder="1" applyAlignment="1">
      <alignment horizontal="center" vertical="center"/>
    </xf>
    <xf numFmtId="0" fontId="5" fillId="57" borderId="19" xfId="0" applyFont="1" applyFill="1" applyBorder="1" applyAlignment="1">
      <alignment horizontal="center" vertical="center"/>
    </xf>
    <xf numFmtId="0" fontId="5" fillId="57" borderId="72" xfId="0" applyFont="1" applyFill="1" applyBorder="1" applyAlignment="1">
      <alignment horizontal="center" vertical="center"/>
    </xf>
    <xf numFmtId="0" fontId="5" fillId="57" borderId="17" xfId="0" applyFont="1" applyFill="1" applyBorder="1" applyAlignment="1">
      <alignment horizontal="center" vertical="center"/>
    </xf>
    <xf numFmtId="0" fontId="5" fillId="27" borderId="19" xfId="0" applyFont="1" applyFill="1" applyBorder="1" applyAlignment="1">
      <alignment horizontal="center" vertical="center"/>
    </xf>
    <xf numFmtId="0" fontId="5" fillId="27" borderId="72" xfId="0" applyFont="1" applyFill="1" applyBorder="1" applyAlignment="1">
      <alignment horizontal="center" vertical="center"/>
    </xf>
    <xf numFmtId="0" fontId="5" fillId="27" borderId="17" xfId="0" applyFont="1" applyFill="1" applyBorder="1" applyAlignment="1">
      <alignment horizontal="center" vertical="center"/>
    </xf>
    <xf numFmtId="0" fontId="7" fillId="27" borderId="52" xfId="0" applyFont="1" applyFill="1" applyBorder="1" applyAlignment="1">
      <alignment horizontal="center" vertical="center"/>
    </xf>
    <xf numFmtId="0" fontId="7" fillId="10" borderId="52" xfId="0" applyFont="1" applyFill="1" applyBorder="1" applyAlignment="1">
      <alignment horizontal="center" vertical="center"/>
    </xf>
    <xf numFmtId="0" fontId="5" fillId="33" borderId="19" xfId="0" applyFont="1" applyFill="1" applyBorder="1" applyAlignment="1">
      <alignment horizontal="center" vertical="center"/>
    </xf>
    <xf numFmtId="0" fontId="5" fillId="33" borderId="72" xfId="0" applyFont="1" applyFill="1" applyBorder="1" applyAlignment="1">
      <alignment horizontal="center" vertical="center"/>
    </xf>
    <xf numFmtId="0" fontId="5" fillId="33" borderId="17" xfId="0" applyFont="1" applyFill="1" applyBorder="1" applyAlignment="1">
      <alignment horizontal="center" vertical="center"/>
    </xf>
    <xf numFmtId="0" fontId="5" fillId="20" borderId="53" xfId="0" applyFont="1" applyFill="1" applyBorder="1" applyAlignment="1">
      <alignment horizontal="center" vertical="center"/>
    </xf>
    <xf numFmtId="0" fontId="5" fillId="20" borderId="47" xfId="0" applyFont="1" applyFill="1" applyBorder="1" applyAlignment="1">
      <alignment horizontal="center" vertical="center"/>
    </xf>
    <xf numFmtId="0" fontId="5" fillId="20" borderId="50" xfId="0" applyFont="1" applyFill="1" applyBorder="1" applyAlignment="1">
      <alignment horizontal="center" vertical="center"/>
    </xf>
    <xf numFmtId="0" fontId="5" fillId="45" borderId="19" xfId="0" applyFont="1" applyFill="1" applyBorder="1" applyAlignment="1">
      <alignment horizontal="center" vertical="center"/>
    </xf>
    <xf numFmtId="0" fontId="5" fillId="45" borderId="72" xfId="0" applyFont="1" applyFill="1" applyBorder="1" applyAlignment="1">
      <alignment horizontal="center" vertical="center"/>
    </xf>
    <xf numFmtId="0" fontId="5" fillId="45" borderId="17" xfId="0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5" fillId="10" borderId="72" xfId="0" applyFont="1" applyFill="1" applyBorder="1" applyAlignment="1">
      <alignment horizontal="center" vertical="center"/>
    </xf>
    <xf numFmtId="0" fontId="5" fillId="10" borderId="17" xfId="0" applyFont="1" applyFill="1" applyBorder="1" applyAlignment="1">
      <alignment horizontal="center" vertical="center"/>
    </xf>
    <xf numFmtId="0" fontId="7" fillId="20" borderId="26" xfId="0" applyFont="1" applyFill="1" applyBorder="1" applyAlignment="1">
      <alignment horizontal="center" vertical="center"/>
    </xf>
    <xf numFmtId="0" fontId="7" fillId="20" borderId="15" xfId="0" applyFont="1" applyFill="1" applyBorder="1" applyAlignment="1">
      <alignment horizontal="center" vertical="center"/>
    </xf>
    <xf numFmtId="0" fontId="5" fillId="27" borderId="21" xfId="0" applyFont="1" applyFill="1" applyBorder="1" applyAlignment="1">
      <alignment horizontal="center" vertical="center"/>
    </xf>
    <xf numFmtId="0" fontId="5" fillId="28" borderId="53" xfId="0" applyFont="1" applyFill="1" applyBorder="1" applyAlignment="1">
      <alignment horizontal="center" vertical="center"/>
    </xf>
    <xf numFmtId="0" fontId="5" fillId="28" borderId="47" xfId="0" applyFont="1" applyFill="1" applyBorder="1" applyAlignment="1">
      <alignment horizontal="center" vertical="center"/>
    </xf>
    <xf numFmtId="0" fontId="5" fillId="28" borderId="50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/>
    </xf>
    <xf numFmtId="0" fontId="5" fillId="48" borderId="72" xfId="0" applyFont="1" applyFill="1" applyBorder="1" applyAlignment="1">
      <alignment horizontal="center" vertical="center"/>
    </xf>
    <xf numFmtId="0" fontId="5" fillId="48" borderId="21" xfId="0" applyFont="1" applyFill="1" applyBorder="1" applyAlignment="1">
      <alignment horizontal="center" vertical="center"/>
    </xf>
    <xf numFmtId="0" fontId="5" fillId="20" borderId="19" xfId="0" applyFont="1" applyFill="1" applyBorder="1" applyAlignment="1">
      <alignment horizontal="center" vertical="center"/>
    </xf>
    <xf numFmtId="0" fontId="5" fillId="20" borderId="72" xfId="0" applyFont="1" applyFill="1" applyBorder="1" applyAlignment="1">
      <alignment horizontal="center" vertical="center"/>
    </xf>
    <xf numFmtId="0" fontId="5" fillId="20" borderId="17" xfId="0" applyFont="1" applyFill="1" applyBorder="1" applyAlignment="1">
      <alignment horizontal="center" vertical="center"/>
    </xf>
    <xf numFmtId="0" fontId="5" fillId="50" borderId="21" xfId="0" applyFont="1" applyFill="1" applyBorder="1" applyAlignment="1">
      <alignment horizontal="center" vertical="center"/>
    </xf>
    <xf numFmtId="0" fontId="7" fillId="31" borderId="26" xfId="0" applyFont="1" applyFill="1" applyBorder="1" applyAlignment="1">
      <alignment horizontal="center" vertical="center"/>
    </xf>
    <xf numFmtId="0" fontId="7" fillId="31" borderId="13" xfId="0" applyFont="1" applyFill="1" applyBorder="1" applyAlignment="1">
      <alignment horizontal="center" vertical="center"/>
    </xf>
    <xf numFmtId="0" fontId="7" fillId="19" borderId="52" xfId="0" applyFont="1" applyFill="1" applyBorder="1" applyAlignment="1">
      <alignment horizontal="center" vertical="center"/>
    </xf>
    <xf numFmtId="0" fontId="7" fillId="19" borderId="15" xfId="0" applyFont="1" applyFill="1" applyBorder="1" applyAlignment="1">
      <alignment horizontal="center" vertical="center"/>
    </xf>
    <xf numFmtId="0" fontId="7" fillId="19" borderId="13" xfId="0" applyFont="1" applyFill="1" applyBorder="1" applyAlignment="1">
      <alignment horizontal="center" vertical="center"/>
    </xf>
    <xf numFmtId="0" fontId="15" fillId="30" borderId="66" xfId="0" applyFont="1" applyFill="1" applyBorder="1" applyAlignment="1">
      <alignment horizontal="center" vertical="center"/>
    </xf>
    <xf numFmtId="0" fontId="15" fillId="30" borderId="67" xfId="0" applyFont="1" applyFill="1" applyBorder="1" applyAlignment="1">
      <alignment horizontal="center" vertical="center"/>
    </xf>
    <xf numFmtId="0" fontId="15" fillId="30" borderId="68" xfId="0" applyFont="1" applyFill="1" applyBorder="1" applyAlignment="1">
      <alignment horizontal="center" vertical="center"/>
    </xf>
    <xf numFmtId="177" fontId="5" fillId="21" borderId="69" xfId="0" applyNumberFormat="1" applyFont="1" applyFill="1" applyBorder="1" applyAlignment="1">
      <alignment horizontal="center" vertical="center"/>
    </xf>
    <xf numFmtId="177" fontId="5" fillId="21" borderId="70" xfId="0" applyNumberFormat="1" applyFont="1" applyFill="1" applyBorder="1" applyAlignment="1">
      <alignment horizontal="center" vertical="center"/>
    </xf>
    <xf numFmtId="177" fontId="5" fillId="21" borderId="71" xfId="0" applyNumberFormat="1" applyFont="1" applyFill="1" applyBorder="1" applyAlignment="1">
      <alignment horizontal="center" vertical="center"/>
    </xf>
    <xf numFmtId="0" fontId="5" fillId="52" borderId="27" xfId="0" applyFont="1" applyFill="1" applyBorder="1" applyAlignment="1">
      <alignment horizontal="center" vertical="center"/>
    </xf>
    <xf numFmtId="0" fontId="5" fillId="52" borderId="92" xfId="0" applyFont="1" applyFill="1" applyBorder="1" applyAlignment="1">
      <alignment horizontal="center" vertical="center"/>
    </xf>
    <xf numFmtId="0" fontId="5" fillId="52" borderId="39" xfId="0" applyFont="1" applyFill="1" applyBorder="1" applyAlignment="1">
      <alignment horizontal="center" vertical="center"/>
    </xf>
    <xf numFmtId="0" fontId="7" fillId="52" borderId="15" xfId="0" applyFont="1" applyFill="1" applyBorder="1" applyAlignment="1">
      <alignment horizontal="center" vertical="center"/>
    </xf>
    <xf numFmtId="0" fontId="5" fillId="16" borderId="18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7" fillId="14" borderId="18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15" borderId="18" xfId="0" applyFont="1" applyFill="1" applyBorder="1" applyAlignment="1">
      <alignment horizontal="center" vertical="center"/>
    </xf>
    <xf numFmtId="0" fontId="5" fillId="35" borderId="19" xfId="0" applyFont="1" applyFill="1" applyBorder="1" applyAlignment="1">
      <alignment horizontal="center" vertical="center"/>
    </xf>
    <xf numFmtId="0" fontId="5" fillId="35" borderId="72" xfId="0" applyFont="1" applyFill="1" applyBorder="1" applyAlignment="1">
      <alignment horizontal="center" vertical="center"/>
    </xf>
    <xf numFmtId="0" fontId="5" fillId="35" borderId="17" xfId="0" applyFont="1" applyFill="1" applyBorder="1" applyAlignment="1">
      <alignment horizontal="center" vertical="center"/>
    </xf>
    <xf numFmtId="0" fontId="5" fillId="49" borderId="36" xfId="0" applyFont="1" applyFill="1" applyBorder="1" applyAlignment="1">
      <alignment horizontal="center" vertical="center"/>
    </xf>
    <xf numFmtId="0" fontId="5" fillId="49" borderId="91" xfId="0" applyFont="1" applyFill="1" applyBorder="1" applyAlignment="1">
      <alignment horizontal="center" vertical="center"/>
    </xf>
    <xf numFmtId="0" fontId="5" fillId="49" borderId="38" xfId="0" applyFont="1" applyFill="1" applyBorder="1" applyAlignment="1">
      <alignment horizontal="center" vertical="center"/>
    </xf>
    <xf numFmtId="0" fontId="7" fillId="43" borderId="13" xfId="0" applyFont="1" applyFill="1" applyBorder="1" applyAlignment="1">
      <alignment horizontal="center" vertical="center"/>
    </xf>
    <xf numFmtId="0" fontId="7" fillId="50" borderId="15" xfId="0" applyFont="1" applyFill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3" fontId="20" fillId="0" borderId="26" xfId="0" applyNumberFormat="1" applyFont="1" applyBorder="1" applyAlignment="1">
      <alignment horizontal="center" vertical="center"/>
    </xf>
    <xf numFmtId="3" fontId="20" fillId="0" borderId="15" xfId="0" applyNumberFormat="1" applyFont="1" applyBorder="1" applyAlignment="1">
      <alignment horizontal="center" vertical="center"/>
    </xf>
    <xf numFmtId="3" fontId="20" fillId="0" borderId="13" xfId="0" applyNumberFormat="1" applyFont="1" applyBorder="1" applyAlignment="1">
      <alignment horizontal="center" vertical="center"/>
    </xf>
    <xf numFmtId="0" fontId="20" fillId="15" borderId="26" xfId="0" applyFont="1" applyFill="1" applyBorder="1" applyAlignment="1">
      <alignment horizontal="center" vertical="center"/>
    </xf>
    <xf numFmtId="0" fontId="20" fillId="15" borderId="15" xfId="0" applyFont="1" applyFill="1" applyBorder="1" applyAlignment="1">
      <alignment horizontal="center" vertical="center"/>
    </xf>
    <xf numFmtId="0" fontId="20" fillId="15" borderId="13" xfId="0" applyFont="1" applyFill="1" applyBorder="1" applyAlignment="1">
      <alignment horizontal="center" vertical="center"/>
    </xf>
    <xf numFmtId="3" fontId="20" fillId="15" borderId="26" xfId="0" applyNumberFormat="1" applyFont="1" applyFill="1" applyBorder="1" applyAlignment="1">
      <alignment horizontal="center" vertical="center"/>
    </xf>
    <xf numFmtId="3" fontId="20" fillId="15" borderId="15" xfId="0" applyNumberFormat="1" applyFont="1" applyFill="1" applyBorder="1" applyAlignment="1">
      <alignment horizontal="center" vertical="center"/>
    </xf>
    <xf numFmtId="3" fontId="20" fillId="15" borderId="13" xfId="0" applyNumberFormat="1" applyFont="1" applyFill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3" fontId="20" fillId="0" borderId="42" xfId="0" applyNumberFormat="1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3" fontId="20" fillId="0" borderId="52" xfId="0" applyNumberFormat="1" applyFont="1" applyBorder="1" applyAlignment="1">
      <alignment horizontal="center" vertical="center"/>
    </xf>
    <xf numFmtId="0" fontId="20" fillId="10" borderId="26" xfId="0" applyFont="1" applyFill="1" applyBorder="1" applyAlignment="1">
      <alignment horizontal="center" vertical="center"/>
    </xf>
    <xf numFmtId="0" fontId="20" fillId="10" borderId="15" xfId="0" applyFont="1" applyFill="1" applyBorder="1" applyAlignment="1">
      <alignment horizontal="center" vertical="center"/>
    </xf>
    <xf numFmtId="0" fontId="20" fillId="10" borderId="42" xfId="0" applyFont="1" applyFill="1" applyBorder="1" applyAlignment="1">
      <alignment horizontal="center" vertical="center"/>
    </xf>
    <xf numFmtId="3" fontId="20" fillId="10" borderId="26" xfId="0" applyNumberFormat="1" applyFont="1" applyFill="1" applyBorder="1" applyAlignment="1">
      <alignment horizontal="center" vertical="center"/>
    </xf>
    <xf numFmtId="3" fontId="20" fillId="10" borderId="15" xfId="0" applyNumberFormat="1" applyFont="1" applyFill="1" applyBorder="1" applyAlignment="1">
      <alignment horizontal="center" vertical="center"/>
    </xf>
    <xf numFmtId="3" fontId="20" fillId="10" borderId="42" xfId="0" applyNumberFormat="1" applyFont="1" applyFill="1" applyBorder="1" applyAlignment="1">
      <alignment horizontal="center" vertical="center"/>
    </xf>
    <xf numFmtId="183" fontId="20" fillId="0" borderId="94" xfId="0" applyNumberFormat="1" applyFont="1" applyBorder="1" applyAlignment="1">
      <alignment horizontal="center" vertical="center"/>
    </xf>
    <xf numFmtId="183" fontId="20" fillId="0" borderId="24" xfId="0" applyNumberFormat="1" applyFont="1" applyBorder="1" applyAlignment="1">
      <alignment horizontal="center" vertical="center"/>
    </xf>
    <xf numFmtId="183" fontId="20" fillId="0" borderId="36" xfId="0" applyNumberFormat="1" applyFont="1" applyBorder="1" applyAlignment="1">
      <alignment horizontal="center" vertical="center"/>
    </xf>
    <xf numFmtId="183" fontId="20" fillId="0" borderId="106" xfId="0" applyNumberFormat="1" applyFont="1" applyBorder="1" applyAlignment="1">
      <alignment horizontal="center" vertical="center"/>
    </xf>
    <xf numFmtId="0" fontId="20" fillId="0" borderId="107" xfId="0" applyFont="1" applyBorder="1" applyAlignment="1">
      <alignment horizontal="center" vertical="center"/>
    </xf>
    <xf numFmtId="0" fontId="20" fillId="0" borderId="108" xfId="0" applyFont="1" applyBorder="1" applyAlignment="1">
      <alignment horizontal="center" vertical="center"/>
    </xf>
    <xf numFmtId="0" fontId="20" fillId="4" borderId="26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20" fillId="4" borderId="13" xfId="0" applyFont="1" applyFill="1" applyBorder="1" applyAlignment="1">
      <alignment horizontal="center" vertical="center"/>
    </xf>
    <xf numFmtId="183" fontId="20" fillId="4" borderId="106" xfId="0" applyNumberFormat="1" applyFont="1" applyFill="1" applyBorder="1" applyAlignment="1">
      <alignment horizontal="center" vertical="center"/>
    </xf>
    <xf numFmtId="183" fontId="20" fillId="4" borderId="107" xfId="0" applyNumberFormat="1" applyFont="1" applyFill="1" applyBorder="1" applyAlignment="1">
      <alignment horizontal="center" vertical="center"/>
    </xf>
    <xf numFmtId="183" fontId="20" fillId="4" borderId="108" xfId="0" applyNumberFormat="1" applyFont="1" applyFill="1" applyBorder="1" applyAlignment="1">
      <alignment horizontal="center" vertical="center"/>
    </xf>
    <xf numFmtId="0" fontId="20" fillId="15" borderId="52" xfId="0" applyFont="1" applyFill="1" applyBorder="1" applyAlignment="1">
      <alignment horizontal="center" vertical="center"/>
    </xf>
    <xf numFmtId="0" fontId="20" fillId="53" borderId="26" xfId="0" applyFont="1" applyFill="1" applyBorder="1" applyAlignment="1">
      <alignment horizontal="center" vertical="center"/>
    </xf>
    <xf numFmtId="0" fontId="20" fillId="53" borderId="15" xfId="0" applyFont="1" applyFill="1" applyBorder="1" applyAlignment="1">
      <alignment horizontal="center" vertical="center"/>
    </xf>
    <xf numFmtId="3" fontId="20" fillId="53" borderId="26" xfId="0" applyNumberFormat="1" applyFont="1" applyFill="1" applyBorder="1" applyAlignment="1">
      <alignment horizontal="center" vertical="center"/>
    </xf>
    <xf numFmtId="3" fontId="20" fillId="15" borderId="52" xfId="0" applyNumberFormat="1" applyFont="1" applyFill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3" fontId="20" fillId="0" borderId="54" xfId="0" applyNumberFormat="1" applyFont="1" applyBorder="1" applyAlignment="1">
      <alignment horizontal="center" vertical="center"/>
    </xf>
    <xf numFmtId="3" fontId="20" fillId="0" borderId="18" xfId="0" applyNumberFormat="1" applyFont="1" applyBorder="1" applyAlignment="1">
      <alignment horizontal="center" vertical="center"/>
    </xf>
    <xf numFmtId="0" fontId="20" fillId="15" borderId="18" xfId="0" applyFont="1" applyFill="1" applyBorder="1" applyAlignment="1">
      <alignment horizontal="center" vertical="center"/>
    </xf>
    <xf numFmtId="0" fontId="20" fillId="15" borderId="31" xfId="0" applyFont="1" applyFill="1" applyBorder="1" applyAlignment="1">
      <alignment horizontal="center" vertical="center"/>
    </xf>
    <xf numFmtId="3" fontId="20" fillId="15" borderId="18" xfId="0" applyNumberFormat="1" applyFont="1" applyFill="1" applyBorder="1" applyAlignment="1">
      <alignment horizontal="center" vertical="center"/>
    </xf>
    <xf numFmtId="0" fontId="54" fillId="34" borderId="19" xfId="3" applyFont="1" applyFill="1" applyBorder="1" applyAlignment="1" applyProtection="1">
      <alignment horizontal="center" vertical="center"/>
    </xf>
    <xf numFmtId="0" fontId="54" fillId="34" borderId="72" xfId="3" applyFont="1" applyFill="1" applyBorder="1" applyAlignment="1" applyProtection="1">
      <alignment horizontal="center" vertical="center"/>
    </xf>
    <xf numFmtId="0" fontId="54" fillId="34" borderId="17" xfId="3" applyFont="1" applyFill="1" applyBorder="1" applyAlignment="1" applyProtection="1">
      <alignment horizontal="center" vertical="center"/>
    </xf>
    <xf numFmtId="0" fontId="54" fillId="10" borderId="26" xfId="3" applyFont="1" applyFill="1" applyBorder="1" applyAlignment="1" applyProtection="1">
      <alignment horizontal="center" vertical="center"/>
    </xf>
    <xf numFmtId="0" fontId="54" fillId="10" borderId="15" xfId="3" applyFont="1" applyFill="1" applyBorder="1" applyAlignment="1" applyProtection="1">
      <alignment horizontal="center" vertical="center"/>
    </xf>
    <xf numFmtId="0" fontId="54" fillId="10" borderId="13" xfId="3" applyFont="1" applyFill="1" applyBorder="1" applyAlignment="1" applyProtection="1">
      <alignment horizontal="center" vertical="center"/>
    </xf>
    <xf numFmtId="0" fontId="54" fillId="0" borderId="26" xfId="3" applyFont="1" applyBorder="1" applyAlignment="1" applyProtection="1">
      <alignment horizontal="center" vertical="center"/>
    </xf>
    <xf numFmtId="0" fontId="54" fillId="0" borderId="15" xfId="3" applyFont="1" applyBorder="1" applyAlignment="1" applyProtection="1">
      <alignment horizontal="center" vertical="center"/>
    </xf>
    <xf numFmtId="0" fontId="54" fillId="0" borderId="13" xfId="3" applyFont="1" applyBorder="1" applyAlignment="1" applyProtection="1">
      <alignment horizontal="center" vertical="center"/>
    </xf>
    <xf numFmtId="0" fontId="54" fillId="10" borderId="19" xfId="3" applyFont="1" applyFill="1" applyBorder="1" applyAlignment="1" applyProtection="1">
      <alignment horizontal="center" vertical="center"/>
    </xf>
    <xf numFmtId="0" fontId="54" fillId="10" borderId="17" xfId="3" applyFont="1" applyFill="1" applyBorder="1" applyAlignment="1" applyProtection="1">
      <alignment horizontal="center" vertical="center"/>
    </xf>
    <xf numFmtId="0" fontId="54" fillId="27" borderId="26" xfId="3" applyFont="1" applyFill="1" applyBorder="1" applyAlignment="1" applyProtection="1">
      <alignment horizontal="center" vertical="center"/>
    </xf>
    <xf numFmtId="0" fontId="54" fillId="27" borderId="15" xfId="3" applyFont="1" applyFill="1" applyBorder="1" applyAlignment="1" applyProtection="1">
      <alignment horizontal="center" vertical="center"/>
    </xf>
    <xf numFmtId="0" fontId="54" fillId="27" borderId="13" xfId="3" applyFont="1" applyFill="1" applyBorder="1" applyAlignment="1" applyProtection="1">
      <alignment horizontal="center" vertical="center"/>
    </xf>
    <xf numFmtId="0" fontId="54" fillId="27" borderId="19" xfId="3" applyFont="1" applyFill="1" applyBorder="1" applyAlignment="1" applyProtection="1">
      <alignment horizontal="center" vertical="center"/>
    </xf>
    <xf numFmtId="0" fontId="54" fillId="27" borderId="17" xfId="3" applyFont="1" applyFill="1" applyBorder="1" applyAlignment="1" applyProtection="1">
      <alignment horizontal="center" vertical="center"/>
    </xf>
    <xf numFmtId="0" fontId="64" fillId="40" borderId="78" xfId="3" applyFont="1" applyFill="1" applyBorder="1" applyAlignment="1">
      <alignment horizontal="center" vertical="center"/>
      <protection locked="0"/>
    </xf>
    <xf numFmtId="0" fontId="71" fillId="42" borderId="84" xfId="5" applyFont="1" applyFill="1" applyBorder="1" applyAlignment="1">
      <alignment horizontal="center" vertical="center"/>
    </xf>
    <xf numFmtId="0" fontId="71" fillId="42" borderId="85" xfId="5" applyFont="1" applyFill="1" applyBorder="1" applyAlignment="1">
      <alignment horizontal="center" vertical="center"/>
    </xf>
    <xf numFmtId="0" fontId="71" fillId="42" borderId="88" xfId="5" applyFont="1" applyFill="1" applyBorder="1" applyAlignment="1">
      <alignment horizontal="center" vertical="center"/>
    </xf>
    <xf numFmtId="0" fontId="71" fillId="42" borderId="88" xfId="5" applyFont="1" applyFill="1" applyBorder="1" applyAlignment="1">
      <alignment horizontal="left" vertical="center"/>
    </xf>
    <xf numFmtId="0" fontId="74" fillId="42" borderId="88" xfId="5" applyFont="1" applyFill="1" applyBorder="1" applyAlignment="1">
      <alignment horizontal="center" vertical="center"/>
    </xf>
    <xf numFmtId="0" fontId="74" fillId="42" borderId="88" xfId="5" applyFont="1" applyFill="1" applyBorder="1" applyAlignment="1">
      <alignment horizontal="left" vertical="center"/>
    </xf>
    <xf numFmtId="0" fontId="92" fillId="54" borderId="73" xfId="5" applyFont="1" applyFill="1" applyBorder="1" applyAlignment="1">
      <alignment horizontal="center" vertical="center"/>
    </xf>
    <xf numFmtId="0" fontId="92" fillId="54" borderId="72" xfId="5" applyFont="1" applyFill="1" applyBorder="1" applyAlignment="1">
      <alignment horizontal="center" vertical="center"/>
    </xf>
    <xf numFmtId="0" fontId="92" fillId="54" borderId="17" xfId="5" applyFont="1" applyFill="1" applyBorder="1" applyAlignment="1">
      <alignment horizontal="center" vertical="center"/>
    </xf>
    <xf numFmtId="0" fontId="90" fillId="0" borderId="113" xfId="5" applyFont="1" applyBorder="1" applyAlignment="1">
      <alignment horizontal="center" vertical="center" wrapText="1"/>
    </xf>
    <xf numFmtId="0" fontId="90" fillId="0" borderId="40" xfId="5" applyFont="1" applyBorder="1" applyAlignment="1">
      <alignment horizontal="center" vertical="center" wrapText="1"/>
    </xf>
    <xf numFmtId="0" fontId="90" fillId="0" borderId="63" xfId="5" applyFont="1" applyBorder="1" applyAlignment="1">
      <alignment horizontal="center" vertical="center" wrapText="1"/>
    </xf>
    <xf numFmtId="0" fontId="91" fillId="41" borderId="76" xfId="5" applyFont="1" applyFill="1" applyBorder="1" applyAlignment="1">
      <alignment horizontal="center" vertical="center" wrapText="1"/>
    </xf>
    <xf numFmtId="0" fontId="91" fillId="41" borderId="74" xfId="5" applyFont="1" applyFill="1" applyBorder="1" applyAlignment="1">
      <alignment horizontal="center" vertical="center" wrapText="1"/>
    </xf>
    <xf numFmtId="0" fontId="91" fillId="41" borderId="61" xfId="5" applyFont="1" applyFill="1" applyBorder="1" applyAlignment="1">
      <alignment horizontal="center" vertical="center" wrapText="1"/>
    </xf>
    <xf numFmtId="0" fontId="88" fillId="10" borderId="52" xfId="5" applyFont="1" applyFill="1" applyBorder="1" applyAlignment="1">
      <alignment horizontal="center" vertical="center" wrapText="1"/>
    </xf>
    <xf numFmtId="0" fontId="88" fillId="10" borderId="15" xfId="5" applyFont="1" applyFill="1" applyBorder="1" applyAlignment="1">
      <alignment horizontal="center" vertical="center" wrapText="1"/>
    </xf>
    <xf numFmtId="0" fontId="88" fillId="10" borderId="13" xfId="5" applyFont="1" applyFill="1" applyBorder="1" applyAlignment="1">
      <alignment horizontal="center" vertical="center" wrapText="1"/>
    </xf>
    <xf numFmtId="0" fontId="92" fillId="10" borderId="19" xfId="5" applyFont="1" applyFill="1" applyBorder="1" applyAlignment="1">
      <alignment horizontal="center" vertical="center"/>
    </xf>
    <xf numFmtId="0" fontId="92" fillId="10" borderId="72" xfId="5" applyFont="1" applyFill="1" applyBorder="1" applyAlignment="1">
      <alignment horizontal="center" vertical="center"/>
    </xf>
    <xf numFmtId="0" fontId="92" fillId="10" borderId="17" xfId="5" applyFont="1" applyFill="1" applyBorder="1" applyAlignment="1">
      <alignment horizontal="center" vertical="center"/>
    </xf>
    <xf numFmtId="0" fontId="88" fillId="27" borderId="26" xfId="5" applyFont="1" applyFill="1" applyBorder="1" applyAlignment="1">
      <alignment horizontal="center" vertical="center" wrapText="1"/>
    </xf>
    <xf numFmtId="0" fontId="88" fillId="27" borderId="15" xfId="5" applyFont="1" applyFill="1" applyBorder="1" applyAlignment="1">
      <alignment horizontal="center" vertical="center" wrapText="1"/>
    </xf>
    <xf numFmtId="0" fontId="88" fillId="27" borderId="13" xfId="5" applyFont="1" applyFill="1" applyBorder="1" applyAlignment="1">
      <alignment horizontal="center" vertical="center" wrapText="1"/>
    </xf>
    <xf numFmtId="0" fontId="92" fillId="27" borderId="19" xfId="5" applyFont="1" applyFill="1" applyBorder="1" applyAlignment="1">
      <alignment horizontal="center" vertical="center"/>
    </xf>
    <xf numFmtId="0" fontId="92" fillId="27" borderId="72" xfId="5" applyFont="1" applyFill="1" applyBorder="1" applyAlignment="1">
      <alignment horizontal="center" vertical="center"/>
    </xf>
    <xf numFmtId="0" fontId="92" fillId="27" borderId="17" xfId="5" applyFont="1" applyFill="1" applyBorder="1" applyAlignment="1">
      <alignment horizontal="center" vertical="center"/>
    </xf>
    <xf numFmtId="0" fontId="91" fillId="41" borderId="93" xfId="5" applyFont="1" applyFill="1" applyBorder="1" applyAlignment="1">
      <alignment horizontal="center" vertical="center" wrapText="1"/>
    </xf>
    <xf numFmtId="0" fontId="88" fillId="10" borderId="26" xfId="5" applyFont="1" applyFill="1" applyBorder="1" applyAlignment="1">
      <alignment horizontal="center" vertical="center" wrapText="1"/>
    </xf>
    <xf numFmtId="0" fontId="88" fillId="20" borderId="26" xfId="5" applyFont="1" applyFill="1" applyBorder="1" applyAlignment="1">
      <alignment horizontal="center" vertical="center" wrapText="1"/>
    </xf>
    <xf numFmtId="0" fontId="88" fillId="20" borderId="15" xfId="5" applyFont="1" applyFill="1" applyBorder="1" applyAlignment="1">
      <alignment horizontal="center" vertical="center" wrapText="1"/>
    </xf>
    <xf numFmtId="0" fontId="88" fillId="20" borderId="13" xfId="5" applyFont="1" applyFill="1" applyBorder="1" applyAlignment="1">
      <alignment horizontal="center" vertical="center" wrapText="1"/>
    </xf>
    <xf numFmtId="0" fontId="92" fillId="20" borderId="19" xfId="5" applyFont="1" applyFill="1" applyBorder="1" applyAlignment="1">
      <alignment horizontal="center" vertical="center"/>
    </xf>
    <xf numFmtId="0" fontId="92" fillId="20" borderId="72" xfId="5" applyFont="1" applyFill="1" applyBorder="1" applyAlignment="1">
      <alignment horizontal="center" vertical="center"/>
    </xf>
    <xf numFmtId="0" fontId="92" fillId="20" borderId="17" xfId="5" applyFont="1" applyFill="1" applyBorder="1" applyAlignment="1">
      <alignment horizontal="center" vertical="center"/>
    </xf>
    <xf numFmtId="0" fontId="91" fillId="41" borderId="17" xfId="5" applyFont="1" applyFill="1" applyBorder="1" applyAlignment="1">
      <alignment horizontal="center" vertical="center" wrapText="1"/>
    </xf>
    <xf numFmtId="0" fontId="88" fillId="10" borderId="18" xfId="5" applyFont="1" applyFill="1" applyBorder="1" applyAlignment="1">
      <alignment horizontal="center" vertical="center" wrapText="1"/>
    </xf>
    <xf numFmtId="0" fontId="92" fillId="10" borderId="18" xfId="5" applyFont="1" applyFill="1" applyBorder="1" applyAlignment="1">
      <alignment horizontal="center" vertical="center"/>
    </xf>
    <xf numFmtId="0" fontId="88" fillId="27" borderId="18" xfId="5" applyFont="1" applyFill="1" applyBorder="1" applyAlignment="1">
      <alignment horizontal="center" vertical="center" wrapText="1"/>
    </xf>
    <xf numFmtId="0" fontId="92" fillId="27" borderId="18" xfId="5" applyFont="1" applyFill="1" applyBorder="1" applyAlignment="1">
      <alignment horizontal="center" vertical="center"/>
    </xf>
    <xf numFmtId="0" fontId="88" fillId="20" borderId="18" xfId="5" applyFont="1" applyFill="1" applyBorder="1" applyAlignment="1">
      <alignment horizontal="center" vertical="center" wrapText="1"/>
    </xf>
    <xf numFmtId="0" fontId="92" fillId="20" borderId="26" xfId="5" applyFont="1" applyFill="1" applyBorder="1" applyAlignment="1">
      <alignment horizontal="center" vertical="center"/>
    </xf>
    <xf numFmtId="0" fontId="92" fillId="40" borderId="126" xfId="5" applyFont="1" applyFill="1" applyBorder="1" applyAlignment="1">
      <alignment horizontal="center" vertical="center"/>
    </xf>
    <xf numFmtId="0" fontId="92" fillId="40" borderId="127" xfId="5" applyFont="1" applyFill="1" applyBorder="1" applyAlignment="1">
      <alignment horizontal="center" vertical="center"/>
    </xf>
    <xf numFmtId="0" fontId="92" fillId="40" borderId="128" xfId="5" applyFont="1" applyFill="1" applyBorder="1" applyAlignment="1">
      <alignment horizontal="center" vertical="center"/>
    </xf>
    <xf numFmtId="0" fontId="90" fillId="0" borderId="66" xfId="5" applyFont="1" applyBorder="1" applyAlignment="1">
      <alignment horizontal="center" vertical="center" wrapText="1"/>
    </xf>
    <xf numFmtId="0" fontId="90" fillId="0" borderId="59" xfId="5" applyFont="1" applyBorder="1" applyAlignment="1">
      <alignment horizontal="center" vertical="center" wrapText="1"/>
    </xf>
    <xf numFmtId="0" fontId="90" fillId="0" borderId="136" xfId="5" applyFont="1" applyBorder="1" applyAlignment="1">
      <alignment horizontal="center" vertical="center" wrapText="1"/>
    </xf>
    <xf numFmtId="0" fontId="91" fillId="41" borderId="129" xfId="5" applyFont="1" applyFill="1" applyBorder="1" applyAlignment="1">
      <alignment horizontal="center" vertical="center" wrapText="1"/>
    </xf>
    <xf numFmtId="0" fontId="91" fillId="41" borderId="131" xfId="5" applyFont="1" applyFill="1" applyBorder="1" applyAlignment="1">
      <alignment horizontal="center" vertical="center" wrapText="1"/>
    </xf>
    <xf numFmtId="0" fontId="91" fillId="41" borderId="133" xfId="5" applyFont="1" applyFill="1" applyBorder="1" applyAlignment="1">
      <alignment horizontal="center" vertical="center" wrapText="1"/>
    </xf>
    <xf numFmtId="0" fontId="88" fillId="55" borderId="130" xfId="5" applyFont="1" applyFill="1" applyBorder="1" applyAlignment="1">
      <alignment horizontal="center" vertical="center" wrapText="1"/>
    </xf>
    <xf numFmtId="0" fontId="88" fillId="55" borderId="132" xfId="5" applyFont="1" applyFill="1" applyBorder="1" applyAlignment="1">
      <alignment horizontal="center" vertical="center" wrapText="1"/>
    </xf>
    <xf numFmtId="0" fontId="88" fillId="55" borderId="134" xfId="5" applyFont="1" applyFill="1" applyBorder="1" applyAlignment="1">
      <alignment horizontal="center" vertical="center" wrapText="1"/>
    </xf>
    <xf numFmtId="0" fontId="92" fillId="55" borderId="19" xfId="5" applyFont="1" applyFill="1" applyBorder="1" applyAlignment="1">
      <alignment horizontal="center" vertical="center"/>
    </xf>
    <xf numFmtId="0" fontId="92" fillId="55" borderId="72" xfId="5" applyFont="1" applyFill="1" applyBorder="1" applyAlignment="1">
      <alignment horizontal="center" vertical="center"/>
    </xf>
    <xf numFmtId="0" fontId="92" fillId="55" borderId="17" xfId="5" applyFont="1" applyFill="1" applyBorder="1" applyAlignment="1">
      <alignment horizontal="center" vertical="center"/>
    </xf>
    <xf numFmtId="0" fontId="88" fillId="10" borderId="135" xfId="5" applyFont="1" applyFill="1" applyBorder="1" applyAlignment="1">
      <alignment horizontal="center" vertical="center" wrapText="1"/>
    </xf>
    <xf numFmtId="0" fontId="88" fillId="10" borderId="132" xfId="5" applyFont="1" applyFill="1" applyBorder="1" applyAlignment="1">
      <alignment horizontal="center" vertical="center" wrapText="1"/>
    </xf>
    <xf numFmtId="0" fontId="88" fillId="10" borderId="134" xfId="5" applyFont="1" applyFill="1" applyBorder="1" applyAlignment="1">
      <alignment horizontal="center" vertical="center" wrapText="1"/>
    </xf>
    <xf numFmtId="0" fontId="92" fillId="40" borderId="137" xfId="5" applyFont="1" applyFill="1" applyBorder="1" applyAlignment="1">
      <alignment horizontal="center" vertical="center"/>
    </xf>
    <xf numFmtId="0" fontId="92" fillId="40" borderId="138" xfId="5" applyFont="1" applyFill="1" applyBorder="1" applyAlignment="1">
      <alignment horizontal="center" vertical="center"/>
    </xf>
    <xf numFmtId="0" fontId="92" fillId="40" borderId="138" xfId="5" applyFont="1" applyFill="1" applyBorder="1" applyAlignment="1">
      <alignment horizontal="left" vertical="center"/>
    </xf>
    <xf numFmtId="0" fontId="92" fillId="40" borderId="139" xfId="5" applyFont="1" applyFill="1" applyBorder="1" applyAlignment="1">
      <alignment horizontal="center" vertical="center"/>
    </xf>
    <xf numFmtId="0" fontId="91" fillId="38" borderId="53" xfId="5" applyFont="1" applyFill="1" applyBorder="1" applyAlignment="1">
      <alignment horizontal="center"/>
    </xf>
    <xf numFmtId="0" fontId="91" fillId="38" borderId="47" xfId="5" applyFont="1" applyFill="1" applyBorder="1" applyAlignment="1">
      <alignment horizontal="center"/>
    </xf>
    <xf numFmtId="0" fontId="91" fillId="38" borderId="46" xfId="5" applyFont="1" applyFill="1" applyBorder="1" applyAlignment="1">
      <alignment horizontal="center"/>
    </xf>
    <xf numFmtId="0" fontId="91" fillId="0" borderId="39" xfId="5" applyFont="1" applyBorder="1" applyAlignment="1">
      <alignment horizontal="center" vertical="center" wrapText="1"/>
    </xf>
    <xf numFmtId="0" fontId="91" fillId="0" borderId="23" xfId="5" applyFont="1" applyBorder="1" applyAlignment="1">
      <alignment horizontal="center" vertical="center" wrapText="1"/>
    </xf>
    <xf numFmtId="0" fontId="91" fillId="0" borderId="35" xfId="5" applyFont="1" applyBorder="1" applyAlignment="1">
      <alignment horizontal="center" vertical="center" wrapText="1"/>
    </xf>
    <xf numFmtId="0" fontId="88" fillId="55" borderId="26" xfId="5" applyFont="1" applyFill="1" applyBorder="1" applyAlignment="1">
      <alignment horizontal="center" vertical="center" wrapText="1"/>
    </xf>
    <xf numFmtId="0" fontId="88" fillId="55" borderId="15" xfId="5" applyFont="1" applyFill="1" applyBorder="1" applyAlignment="1">
      <alignment horizontal="center" vertical="center" wrapText="1"/>
    </xf>
    <xf numFmtId="0" fontId="88" fillId="55" borderId="13" xfId="5" applyFont="1" applyFill="1" applyBorder="1" applyAlignment="1">
      <alignment horizontal="center" vertical="center" wrapText="1"/>
    </xf>
    <xf numFmtId="0" fontId="92" fillId="40" borderId="140" xfId="5" applyFont="1" applyFill="1" applyBorder="1" applyAlignment="1">
      <alignment horizontal="center" vertical="center"/>
    </xf>
    <xf numFmtId="0" fontId="92" fillId="40" borderId="89" xfId="5" applyFont="1" applyFill="1" applyBorder="1" applyAlignment="1">
      <alignment horizontal="center" vertical="center"/>
    </xf>
    <xf numFmtId="0" fontId="92" fillId="40" borderId="89" xfId="5" applyFont="1" applyFill="1" applyBorder="1" applyAlignment="1">
      <alignment horizontal="left" vertical="center"/>
    </xf>
    <xf numFmtId="0" fontId="92" fillId="40" borderId="141" xfId="5" applyFont="1" applyFill="1" applyBorder="1" applyAlignment="1">
      <alignment horizontal="center" vertical="center"/>
    </xf>
    <xf numFmtId="0" fontId="92" fillId="55" borderId="18" xfId="5" applyFont="1" applyFill="1" applyBorder="1" applyAlignment="1">
      <alignment horizontal="center" vertical="center"/>
    </xf>
    <xf numFmtId="0" fontId="92" fillId="20" borderId="18" xfId="5" applyFont="1" applyFill="1" applyBorder="1" applyAlignment="1">
      <alignment horizontal="center" vertical="center"/>
    </xf>
    <xf numFmtId="0" fontId="88" fillId="38" borderId="53" xfId="5" applyFont="1" applyFill="1" applyBorder="1" applyAlignment="1">
      <alignment horizontal="center"/>
    </xf>
    <xf numFmtId="0" fontId="88" fillId="38" borderId="47" xfId="5" applyFont="1" applyFill="1" applyBorder="1" applyAlignment="1">
      <alignment horizontal="center"/>
    </xf>
    <xf numFmtId="0" fontId="88" fillId="38" borderId="46" xfId="5" applyFont="1" applyFill="1" applyBorder="1" applyAlignment="1">
      <alignment horizontal="center"/>
    </xf>
    <xf numFmtId="0" fontId="96" fillId="0" borderId="76" xfId="5" applyFont="1" applyBorder="1" applyAlignment="1">
      <alignment horizontal="center" vertical="center" wrapText="1"/>
    </xf>
    <xf numFmtId="0" fontId="96" fillId="0" borderId="74" xfId="5" applyFont="1" applyBorder="1" applyAlignment="1">
      <alignment horizontal="center" vertical="center" wrapText="1"/>
    </xf>
    <xf numFmtId="0" fontId="96" fillId="0" borderId="75" xfId="5" applyFont="1" applyBorder="1" applyAlignment="1">
      <alignment horizontal="center" vertical="center" wrapText="1"/>
    </xf>
    <xf numFmtId="0" fontId="91" fillId="41" borderId="142" xfId="5" applyFont="1" applyFill="1" applyBorder="1" applyAlignment="1">
      <alignment horizontal="center" vertical="center" wrapText="1"/>
    </xf>
    <xf numFmtId="0" fontId="91" fillId="41" borderId="145" xfId="5" applyFont="1" applyFill="1" applyBorder="1" applyAlignment="1">
      <alignment horizontal="center" vertical="center" wrapText="1"/>
    </xf>
    <xf numFmtId="0" fontId="91" fillId="41" borderId="146" xfId="5" applyFont="1" applyFill="1" applyBorder="1" applyAlignment="1">
      <alignment horizontal="center" vertical="center" wrapText="1"/>
    </xf>
    <xf numFmtId="0" fontId="88" fillId="55" borderId="143" xfId="5" applyFont="1" applyFill="1" applyBorder="1" applyAlignment="1">
      <alignment horizontal="center" vertical="center" wrapText="1"/>
    </xf>
    <xf numFmtId="0" fontId="88" fillId="55" borderId="147" xfId="5" applyFont="1" applyFill="1" applyBorder="1" applyAlignment="1">
      <alignment horizontal="center" vertical="center" wrapText="1"/>
    </xf>
    <xf numFmtId="0" fontId="92" fillId="40" borderId="148" xfId="5" applyFont="1" applyFill="1" applyBorder="1" applyAlignment="1">
      <alignment horizontal="center" vertical="center"/>
    </xf>
    <xf numFmtId="0" fontId="7" fillId="0" borderId="52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17" borderId="52" xfId="0" applyFont="1" applyFill="1" applyBorder="1" applyAlignment="1">
      <alignment vertical="center" wrapText="1"/>
    </xf>
    <xf numFmtId="0" fontId="7" fillId="17" borderId="52" xfId="0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9" borderId="7" xfId="0" applyFont="1" applyFill="1" applyBorder="1" applyAlignment="1">
      <alignment vertical="center"/>
    </xf>
    <xf numFmtId="0" fontId="7" fillId="9" borderId="15" xfId="0" applyFont="1" applyFill="1" applyBorder="1" applyAlignment="1">
      <alignment vertical="center"/>
    </xf>
    <xf numFmtId="0" fontId="7" fillId="27" borderId="52" xfId="0" applyFont="1" applyFill="1" applyBorder="1" applyAlignment="1">
      <alignment vertical="center"/>
    </xf>
    <xf numFmtId="0" fontId="7" fillId="10" borderId="52" xfId="0" applyFont="1" applyFill="1" applyBorder="1" applyAlignment="1">
      <alignment vertical="center"/>
    </xf>
    <xf numFmtId="0" fontId="7" fillId="20" borderId="26" xfId="0" applyFont="1" applyFill="1" applyBorder="1" applyAlignment="1">
      <alignment vertical="center"/>
    </xf>
    <xf numFmtId="0" fontId="7" fillId="9" borderId="26" xfId="0" applyFont="1" applyFill="1" applyBorder="1" applyAlignment="1">
      <alignment vertical="center"/>
    </xf>
    <xf numFmtId="0" fontId="7" fillId="47" borderId="26" xfId="0" applyFont="1" applyFill="1" applyBorder="1" applyAlignment="1">
      <alignment vertical="center"/>
    </xf>
    <xf numFmtId="0" fontId="7" fillId="47" borderId="13" xfId="0" applyFont="1" applyFill="1" applyBorder="1" applyAlignment="1">
      <alignment vertical="center"/>
    </xf>
    <xf numFmtId="0" fontId="7" fillId="46" borderId="26" xfId="0" applyFont="1" applyFill="1" applyBorder="1" applyAlignment="1">
      <alignment vertical="center"/>
    </xf>
    <xf numFmtId="0" fontId="7" fillId="50" borderId="26" xfId="0" applyFont="1" applyFill="1" applyBorder="1" applyAlignment="1">
      <alignment vertical="center"/>
    </xf>
    <xf numFmtId="0" fontId="7" fillId="43" borderId="26" xfId="0" applyFont="1" applyFill="1" applyBorder="1" applyAlignment="1">
      <alignment vertical="center"/>
    </xf>
    <xf numFmtId="0" fontId="7" fillId="31" borderId="26" xfId="0" applyFont="1" applyFill="1" applyBorder="1" applyAlignment="1">
      <alignment vertical="center"/>
    </xf>
    <xf numFmtId="0" fontId="7" fillId="52" borderId="15" xfId="0" applyFont="1" applyFill="1" applyBorder="1" applyAlignment="1">
      <alignment vertical="center"/>
    </xf>
    <xf numFmtId="0" fontId="7" fillId="19" borderId="76" xfId="0" applyFont="1" applyFill="1" applyBorder="1" applyAlignment="1">
      <alignment vertical="center"/>
    </xf>
    <xf numFmtId="0" fontId="7" fillId="19" borderId="52" xfId="0" applyFont="1" applyFill="1" applyBorder="1" applyAlignment="1">
      <alignment vertical="center"/>
    </xf>
    <xf numFmtId="0" fontId="7" fillId="29" borderId="61" xfId="0" applyFont="1" applyFill="1" applyBorder="1" applyAlignment="1">
      <alignment vertical="center"/>
    </xf>
    <xf numFmtId="0" fontId="7" fillId="29" borderId="13" xfId="0" applyFont="1" applyFill="1" applyBorder="1" applyAlignment="1">
      <alignment vertical="center"/>
    </xf>
    <xf numFmtId="0" fontId="17" fillId="51" borderId="18" xfId="0" applyFont="1" applyFill="1" applyBorder="1">
      <alignment vertical="center"/>
    </xf>
    <xf numFmtId="0" fontId="7" fillId="58" borderId="17" xfId="0" applyFont="1" applyFill="1" applyBorder="1">
      <alignment vertical="center"/>
    </xf>
  </cellXfs>
  <cellStyles count="8">
    <cellStyle name="백분율" xfId="2" builtinId="5"/>
    <cellStyle name="쉼표 [0]" xfId="1" builtinId="6"/>
    <cellStyle name="쉼표 [0] 2" xfId="4" xr:uid="{888F32E6-D07B-4F44-A8A0-DEA90DF427A7}"/>
    <cellStyle name="쉼표 [0] 2 2" xfId="6" xr:uid="{F8E130C7-8E41-4E63-9A13-7AACEBCED19B}"/>
    <cellStyle name="표준" xfId="0" builtinId="0"/>
    <cellStyle name="표준 2 2" xfId="5" xr:uid="{F40FAD4A-27A2-45A6-9340-4422487E7910}"/>
    <cellStyle name="표준 3" xfId="3" xr:uid="{FBC1A475-04EA-4BA4-8CE1-5115B9B641C2}"/>
    <cellStyle name="표준 3 2" xfId="7" xr:uid="{F910BF10-C71F-462C-9492-79AB11411CDC}"/>
  </cellStyles>
  <dxfs count="0"/>
  <tableStyles count="0" defaultTableStyle="TableStyleMedium2" defaultPivotStyle="PivotStyleLight16"/>
  <colors>
    <mruColors>
      <color rgb="FF0099FF"/>
      <color rgb="FF0000FF"/>
      <color rgb="FFFFFFCC"/>
      <color rgb="FFFFE89F"/>
      <color rgb="FF00FFFF"/>
      <color rgb="FFBDFFBD"/>
      <color rgb="FFE4C9FF"/>
      <color rgb="FFFFCDE1"/>
      <color rgb="FFB3D2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/3_&#49828;&#53580;&#47532;&#52992;&#50612;/&#49828;&#53580;&#47532;&#52992;&#50612;_&#50896;&#44032;&#49328;&#51221;/250219_&#49828;&#53580;&#47532;&#52992;&#50612;%20&#50896;&#44032;&#49328;&#51221;%20(1&#50900;&#47568;&#44592;&#51456;)_&#47448;.xlsx" TargetMode="External"/><Relationship Id="rId1" Type="http://schemas.openxmlformats.org/officeDocument/2006/relationships/externalLinkPath" Target="file:///G:/3_&#49828;&#53580;&#47532;&#52992;&#50612;/&#49828;&#53580;&#47532;&#52992;&#50612;_&#50896;&#44032;&#49328;&#51221;/250219_&#49828;&#53580;&#47532;&#52992;&#50612;%20&#50896;&#44032;&#49328;&#51221;%20(1&#50900;&#47568;&#44592;&#51456;)_&#47448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BNS&#48149;&#54812;&#50689;/Desktop/&#50629;&#47924;/&#48149;&#54812;&#50689;%20&#49324;&#50896;(2025.09.01~/3_&#49828;&#53580;&#47532;&#52992;&#50612;/&#9733;&#49828;&#53580;&#47532;&#52992;&#50612;_&#50896;&#44032;&#49328;&#51221;/2025&#45380;/32_&#49828;&#53580;&#47532;&#52992;&#50612;%20&#50896;&#44032;&#49328;&#51221;(12&#50900;&#47568;%20&#44592;&#51456;)_&#44032;&#50868;&#50896;&#44032;%20&#49688;&#51221;&#48516;_v4.xlsx" TargetMode="External"/><Relationship Id="rId1" Type="http://schemas.openxmlformats.org/officeDocument/2006/relationships/externalLinkPath" Target="file:///C:/Users/BNS&#48149;&#54812;&#50689;/Desktop/&#50629;&#47924;/&#48149;&#54812;&#50689;%20&#49324;&#50896;(2025.09.01~/3_&#49828;&#53580;&#47532;&#52992;&#50612;/&#9733;&#49828;&#53580;&#47532;&#52992;&#50612;_&#50896;&#44032;&#49328;&#51221;/2025&#45380;/32_&#49828;&#53580;&#47532;&#52992;&#50612;%20&#50896;&#44032;&#49328;&#51221;(12&#50900;&#47568;%20&#44592;&#51456;)_&#44032;&#50868;&#50896;&#44032;%20&#49688;&#51221;&#48516;_v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BNS&#48149;&#54812;&#50689;/Desktop/&#50629;&#47924;/&#48149;&#54812;&#50689;%20&#49324;&#50896;(2025.09.01~/1_&#54924;&#44228;/2025_&#54924;&#44228;&#44048;&#49324;/&#51473;&#44036;&#44048;&#49324;/&#51473;&#44036;&#44048;&#49324;%20&#54924;&#44228;&#48277;&#51064;&#51228;&#52636;_20251117/17_&#50976;&#47924;&#54805;&#44048;&#44032;&#49345;&#44033;&#47749;&#49464;&#49436;(&#49828;&#53580;&#47532;&#52992;&#50612;%20&#52628;&#44032;)_20251107.xls" TargetMode="External"/><Relationship Id="rId1" Type="http://schemas.openxmlformats.org/officeDocument/2006/relationships/externalLinkPath" Target="file:///C:/Users/BNS&#48149;&#54812;&#50689;/Desktop/&#50629;&#47924;/&#48149;&#54812;&#50689;%20&#49324;&#50896;(2025.09.01~/1_&#54924;&#44228;/2025_&#54924;&#44228;&#44048;&#49324;/&#51473;&#44036;&#44048;&#49324;/&#51473;&#44036;&#44048;&#49324;%20&#54924;&#44228;&#48277;&#51064;&#51228;&#52636;_20251117/17_&#50976;&#47924;&#54805;&#44048;&#44032;&#49345;&#44033;&#47749;&#49464;&#49436;(&#49828;&#53580;&#47532;&#52992;&#50612;%20&#52628;&#44032;)_20251107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BNS&#48149;&#54812;&#50689;/Desktop/&#50629;&#47924;/&#48149;&#54812;&#50689;%20&#49324;&#50896;(2025.09.01~/1_&#54924;&#44228;/2025_&#54924;&#44228;&#44048;&#49324;/&#44592;&#47568;&#44048;&#49324;/&#45236;%20&#51089;&#49457;&#48516;/&#50976;&#47924;&#54805;&#44048;&#44032;&#49345;&#44033;&#47749;&#49464;_260212.xlsx" TargetMode="External"/><Relationship Id="rId1" Type="http://schemas.openxmlformats.org/officeDocument/2006/relationships/externalLinkPath" Target="https://ejungkor-my.sharepoint.com/Users/BNS&#48149;&#54812;&#50689;/Desktop/&#50629;&#47924;/&#48149;&#54812;&#50689;%20&#49324;&#50896;(2025.09.01~/1_&#54924;&#44228;/2025_&#54924;&#44228;&#44048;&#49324;/&#44592;&#47568;&#44048;&#49324;/&#45236;%20&#51089;&#49457;&#48516;/&#50976;&#47924;&#54805;&#44048;&#44032;&#49345;&#44033;&#47749;&#49464;_2602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0131기준"/>
      <sheetName val="원가산정(241231기준)"/>
      <sheetName val="감가상세(v2)"/>
      <sheetName val="감가통합(v2)"/>
      <sheetName val="선급금(daily)"/>
      <sheetName val="월별원가(류)"/>
      <sheetName val="개별원가(류)"/>
      <sheetName val="가운출고량(류)"/>
      <sheetName val="비용계상(20%)"/>
      <sheetName val="기간별손익"/>
    </sheetNames>
    <sheetDataSet>
      <sheetData sheetId="0" refreshError="1"/>
      <sheetData sheetId="1">
        <row r="15">
          <cell r="X15">
            <v>34682882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F4">
            <v>175</v>
          </cell>
          <cell r="G4">
            <v>150</v>
          </cell>
          <cell r="H4">
            <v>75</v>
          </cell>
          <cell r="I4">
            <v>50</v>
          </cell>
          <cell r="J4">
            <v>50</v>
          </cell>
          <cell r="K4">
            <v>100</v>
          </cell>
          <cell r="L4">
            <v>100</v>
          </cell>
          <cell r="M4">
            <v>125</v>
          </cell>
          <cell r="N4">
            <v>150</v>
          </cell>
          <cell r="O4">
            <v>150</v>
          </cell>
          <cell r="P4">
            <v>200</v>
          </cell>
          <cell r="Q4">
            <v>150</v>
          </cell>
        </row>
        <row r="5">
          <cell r="F5">
            <v>325</v>
          </cell>
          <cell r="G5">
            <v>275</v>
          </cell>
          <cell r="H5">
            <v>200</v>
          </cell>
          <cell r="I5">
            <v>200</v>
          </cell>
          <cell r="J5">
            <v>200</v>
          </cell>
          <cell r="K5">
            <v>150</v>
          </cell>
          <cell r="L5">
            <v>150</v>
          </cell>
          <cell r="M5">
            <v>200</v>
          </cell>
          <cell r="N5">
            <v>150</v>
          </cell>
          <cell r="O5">
            <v>100</v>
          </cell>
          <cell r="P5">
            <v>100</v>
          </cell>
          <cell r="Q5">
            <v>200</v>
          </cell>
        </row>
        <row r="6">
          <cell r="F6">
            <v>480</v>
          </cell>
          <cell r="G6">
            <v>390</v>
          </cell>
          <cell r="H6">
            <v>510</v>
          </cell>
          <cell r="I6">
            <v>405</v>
          </cell>
          <cell r="J6">
            <v>480</v>
          </cell>
          <cell r="K6">
            <v>435</v>
          </cell>
          <cell r="L6">
            <v>480</v>
          </cell>
          <cell r="M6">
            <v>405</v>
          </cell>
          <cell r="N6">
            <v>360</v>
          </cell>
          <cell r="O6">
            <v>435</v>
          </cell>
          <cell r="P6">
            <v>510</v>
          </cell>
          <cell r="Q6">
            <v>495</v>
          </cell>
        </row>
        <row r="7">
          <cell r="F7">
            <v>210</v>
          </cell>
          <cell r="G7">
            <v>165</v>
          </cell>
          <cell r="H7">
            <v>195</v>
          </cell>
          <cell r="I7">
            <v>150</v>
          </cell>
          <cell r="J7">
            <v>180</v>
          </cell>
          <cell r="K7">
            <v>225</v>
          </cell>
          <cell r="L7">
            <v>165</v>
          </cell>
          <cell r="M7">
            <v>195</v>
          </cell>
          <cell r="N7">
            <v>165</v>
          </cell>
          <cell r="O7">
            <v>120</v>
          </cell>
          <cell r="P7">
            <v>180</v>
          </cell>
          <cell r="Q7">
            <v>195</v>
          </cell>
        </row>
        <row r="8">
          <cell r="F8">
            <v>420</v>
          </cell>
          <cell r="G8">
            <v>384</v>
          </cell>
          <cell r="H8">
            <v>468</v>
          </cell>
          <cell r="I8">
            <v>396</v>
          </cell>
          <cell r="J8">
            <v>528</v>
          </cell>
          <cell r="K8">
            <v>468</v>
          </cell>
          <cell r="L8">
            <v>576</v>
          </cell>
          <cell r="M8">
            <v>612</v>
          </cell>
          <cell r="N8">
            <v>372</v>
          </cell>
          <cell r="O8">
            <v>480</v>
          </cell>
          <cell r="P8">
            <v>444</v>
          </cell>
          <cell r="Q8">
            <v>456</v>
          </cell>
        </row>
        <row r="9">
          <cell r="F9">
            <v>444</v>
          </cell>
          <cell r="G9">
            <v>408</v>
          </cell>
          <cell r="H9">
            <v>516</v>
          </cell>
          <cell r="I9">
            <v>468</v>
          </cell>
          <cell r="J9">
            <v>528</v>
          </cell>
          <cell r="K9">
            <v>480</v>
          </cell>
          <cell r="L9">
            <v>564</v>
          </cell>
          <cell r="M9">
            <v>504</v>
          </cell>
          <cell r="N9">
            <v>360</v>
          </cell>
          <cell r="O9">
            <v>468</v>
          </cell>
          <cell r="P9">
            <v>456</v>
          </cell>
          <cell r="Q9">
            <v>492</v>
          </cell>
        </row>
        <row r="13">
          <cell r="M13">
            <v>669</v>
          </cell>
          <cell r="N13">
            <v>660</v>
          </cell>
          <cell r="O13">
            <v>600</v>
          </cell>
          <cell r="P13">
            <v>480</v>
          </cell>
          <cell r="Q13">
            <v>540</v>
          </cell>
        </row>
        <row r="14">
          <cell r="F14">
            <v>400</v>
          </cell>
          <cell r="G14">
            <v>25</v>
          </cell>
          <cell r="H14">
            <v>50</v>
          </cell>
          <cell r="J14">
            <v>25</v>
          </cell>
          <cell r="K14">
            <v>50</v>
          </cell>
          <cell r="L14">
            <v>25</v>
          </cell>
          <cell r="M14">
            <v>50</v>
          </cell>
          <cell r="N14">
            <v>50</v>
          </cell>
          <cell r="O14">
            <v>75</v>
          </cell>
          <cell r="Q14">
            <v>25</v>
          </cell>
        </row>
        <row r="15">
          <cell r="F15">
            <v>425</v>
          </cell>
          <cell r="G15">
            <v>650</v>
          </cell>
          <cell r="H15">
            <v>750</v>
          </cell>
          <cell r="I15">
            <v>675</v>
          </cell>
          <cell r="J15">
            <v>850</v>
          </cell>
          <cell r="K15">
            <v>575</v>
          </cell>
          <cell r="L15">
            <v>625</v>
          </cell>
          <cell r="M15">
            <v>525</v>
          </cell>
          <cell r="N15">
            <v>400</v>
          </cell>
          <cell r="O15">
            <v>350</v>
          </cell>
          <cell r="P15">
            <v>225</v>
          </cell>
          <cell r="Q15">
            <v>275</v>
          </cell>
        </row>
        <row r="16">
          <cell r="F16">
            <v>120</v>
          </cell>
          <cell r="G16">
            <v>135</v>
          </cell>
          <cell r="H16">
            <v>120</v>
          </cell>
          <cell r="I16">
            <v>150</v>
          </cell>
          <cell r="J16">
            <v>195</v>
          </cell>
          <cell r="K16">
            <v>120</v>
          </cell>
          <cell r="L16">
            <v>150</v>
          </cell>
          <cell r="M16">
            <v>75</v>
          </cell>
          <cell r="N16">
            <v>120</v>
          </cell>
          <cell r="O16">
            <v>120</v>
          </cell>
          <cell r="P16">
            <v>135</v>
          </cell>
          <cell r="Q16">
            <v>120</v>
          </cell>
        </row>
        <row r="17">
          <cell r="F17">
            <v>630</v>
          </cell>
          <cell r="G17">
            <v>420</v>
          </cell>
          <cell r="H17">
            <v>540</v>
          </cell>
          <cell r="I17">
            <v>600</v>
          </cell>
          <cell r="J17">
            <v>658</v>
          </cell>
          <cell r="K17">
            <v>585</v>
          </cell>
          <cell r="L17">
            <v>615</v>
          </cell>
          <cell r="M17">
            <v>405</v>
          </cell>
          <cell r="N17">
            <v>330</v>
          </cell>
          <cell r="O17">
            <v>405</v>
          </cell>
          <cell r="P17">
            <v>495</v>
          </cell>
          <cell r="Q17">
            <v>570</v>
          </cell>
        </row>
        <row r="18">
          <cell r="F18">
            <v>840</v>
          </cell>
          <cell r="G18">
            <v>576</v>
          </cell>
          <cell r="H18">
            <v>804</v>
          </cell>
          <cell r="I18">
            <v>780</v>
          </cell>
          <cell r="J18">
            <v>839</v>
          </cell>
          <cell r="K18">
            <v>706</v>
          </cell>
          <cell r="L18">
            <v>912</v>
          </cell>
          <cell r="M18">
            <v>780</v>
          </cell>
          <cell r="N18">
            <v>732</v>
          </cell>
          <cell r="O18">
            <v>756</v>
          </cell>
          <cell r="P18">
            <v>851</v>
          </cell>
          <cell r="Q18">
            <v>851</v>
          </cell>
        </row>
        <row r="19">
          <cell r="F19">
            <v>732</v>
          </cell>
          <cell r="G19">
            <v>696</v>
          </cell>
          <cell r="H19">
            <v>852</v>
          </cell>
          <cell r="I19">
            <v>672</v>
          </cell>
          <cell r="J19">
            <v>791</v>
          </cell>
          <cell r="K19">
            <v>635</v>
          </cell>
          <cell r="L19">
            <v>827</v>
          </cell>
          <cell r="M19">
            <v>756</v>
          </cell>
          <cell r="N19">
            <v>756</v>
          </cell>
          <cell r="O19">
            <v>672</v>
          </cell>
          <cell r="P19">
            <v>828</v>
          </cell>
          <cell r="Q19">
            <v>792</v>
          </cell>
        </row>
      </sheetData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★250930기준_수정1"/>
      <sheetName val="★251231기준_기말감사용(요약)"/>
      <sheetName val="★251231기준_기말감사용(상세)"/>
      <sheetName val="본사판관비 20%"/>
      <sheetName val="원가파일과 비교"/>
      <sheetName val="감가요약(25.12.31)"/>
      <sheetName val="감가상각 상세(25.12.31)"/>
      <sheetName val="★250930기준_중간감사보고용"/>
      <sheetName val="감가상각 상세"/>
      <sheetName val="감가요약"/>
      <sheetName val="★251231기준"/>
      <sheetName val="주요비율산정표(%)"/>
      <sheetName val="241231기준"/>
      <sheetName val="감가상세(v2)"/>
      <sheetName val="감가통합(v2)"/>
      <sheetName val="선급금(daily)"/>
      <sheetName val="월별원가(류)"/>
      <sheetName val="월별원가(류)12월"/>
      <sheetName val="가운출고량(류)12월"/>
      <sheetName val="개별원가(류)"/>
      <sheetName val="가운출고량(류)"/>
      <sheetName val="비용계상(20%)"/>
      <sheetName val="기간별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9">
          <cell r="G19">
            <v>530005273</v>
          </cell>
          <cell r="O19">
            <v>110645118</v>
          </cell>
          <cell r="Q19">
            <v>398317519</v>
          </cell>
          <cell r="R19">
            <v>134687754</v>
          </cell>
        </row>
        <row r="21">
          <cell r="G21">
            <v>57163731</v>
          </cell>
          <cell r="O21">
            <v>9898142</v>
          </cell>
          <cell r="Q21">
            <v>45114772</v>
          </cell>
          <cell r="R21">
            <v>12048959</v>
          </cell>
        </row>
        <row r="42">
          <cell r="G42">
            <v>49681000</v>
          </cell>
          <cell r="O42">
            <v>11912567</v>
          </cell>
          <cell r="Q42">
            <v>36382872</v>
          </cell>
          <cell r="R42">
            <v>16940128</v>
          </cell>
        </row>
        <row r="62">
          <cell r="G62">
            <v>406480000</v>
          </cell>
          <cell r="O62">
            <v>75945252</v>
          </cell>
          <cell r="Q62">
            <v>316136836</v>
          </cell>
          <cell r="R62">
            <v>98998619</v>
          </cell>
        </row>
        <row r="83">
          <cell r="G83">
            <v>172351410</v>
          </cell>
          <cell r="O83">
            <v>34608389</v>
          </cell>
          <cell r="Q83">
            <v>174467089</v>
          </cell>
          <cell r="R83">
            <v>33244471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감가요약"/>
      <sheetName val="감가상각 상세"/>
      <sheetName val="무형자산(스테리케어)"/>
      <sheetName val="감가상각 상세(수정전)"/>
      <sheetName val="유형자산(원본)"/>
      <sheetName val="무형자산(원본)"/>
    </sheetNames>
    <sheetDataSet>
      <sheetData sheetId="0" refreshError="1"/>
      <sheetData sheetId="1">
        <row r="19">
          <cell r="G19">
            <v>530005273</v>
          </cell>
        </row>
        <row r="77">
          <cell r="G77">
            <v>19083336</v>
          </cell>
        </row>
        <row r="82">
          <cell r="G82">
            <v>55867</v>
          </cell>
        </row>
        <row r="86">
          <cell r="G86">
            <v>3265154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감가요약"/>
      <sheetName val="감가상각 상세"/>
      <sheetName val="유형자산(원본)"/>
      <sheetName val="무형자산(원본)"/>
    </sheetNames>
    <sheetDataSet>
      <sheetData sheetId="0"/>
      <sheetData sheetId="1">
        <row r="19">
          <cell r="O19">
            <v>110645118</v>
          </cell>
        </row>
        <row r="79">
          <cell r="O79">
            <v>4400000</v>
          </cell>
          <cell r="Q79">
            <v>4400000</v>
          </cell>
          <cell r="R79">
            <v>14683336</v>
          </cell>
        </row>
        <row r="84">
          <cell r="O84">
            <v>52867</v>
          </cell>
          <cell r="Q84">
            <v>52867</v>
          </cell>
          <cell r="R84">
            <v>3000</v>
          </cell>
        </row>
        <row r="88">
          <cell r="O88">
            <v>999999</v>
          </cell>
          <cell r="Q88">
            <v>999999</v>
          </cell>
          <cell r="R88">
            <v>2265155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A727-B66A-48C4-B8AB-C7A923E36050}">
  <sheetPr>
    <tabColor theme="8" tint="0.79998168889431442"/>
  </sheetPr>
  <dimension ref="A1:AT256"/>
  <sheetViews>
    <sheetView showGridLines="0" tabSelected="1" zoomScale="108" zoomScaleNormal="8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G19" sqref="G19"/>
    </sheetView>
  </sheetViews>
  <sheetFormatPr baseColWidth="10" defaultColWidth="9" defaultRowHeight="17"/>
  <cols>
    <col min="1" max="1" width="1.6640625" style="211" customWidth="1"/>
    <col min="2" max="2" width="4.1640625" style="211" customWidth="1"/>
    <col min="3" max="3" width="11.6640625" style="212" customWidth="1"/>
    <col min="4" max="4" width="15.83203125" style="212" customWidth="1"/>
    <col min="5" max="5" width="13.83203125" style="212" customWidth="1"/>
    <col min="6" max="6" width="22.6640625" style="211" customWidth="1"/>
    <col min="7" max="7" width="87.33203125" style="211" customWidth="1"/>
    <col min="8" max="8" width="12.1640625" style="211" customWidth="1"/>
    <col min="9" max="9" width="9.83203125" style="272" customWidth="1"/>
    <col min="10" max="10" width="12.1640625" style="211" customWidth="1"/>
    <col min="11" max="11" width="9.83203125" style="272" customWidth="1"/>
    <col min="12" max="12" width="12.1640625" style="211" customWidth="1"/>
    <col min="13" max="13" width="9.83203125" style="272" customWidth="1"/>
    <col min="14" max="14" width="12.1640625" style="211" customWidth="1"/>
    <col min="15" max="15" width="9.83203125" style="272" customWidth="1"/>
    <col min="16" max="16" width="12.1640625" style="211" customWidth="1"/>
    <col min="17" max="17" width="9.83203125" style="272" customWidth="1"/>
    <col min="18" max="18" width="12.1640625" style="211" customWidth="1"/>
    <col min="19" max="19" width="9.83203125" style="272" customWidth="1"/>
    <col min="20" max="20" width="12.1640625" style="211" hidden="1" customWidth="1"/>
    <col min="21" max="21" width="9.83203125" style="272" hidden="1" customWidth="1"/>
    <col min="22" max="22" width="12.1640625" style="211" hidden="1" customWidth="1"/>
    <col min="23" max="23" width="9.83203125" style="211" hidden="1" customWidth="1"/>
    <col min="24" max="24" width="12.1640625" style="211" hidden="1" customWidth="1"/>
    <col min="25" max="25" width="9.83203125" style="211" hidden="1" customWidth="1"/>
    <col min="26" max="26" width="12.1640625" style="211" hidden="1" customWidth="1"/>
    <col min="27" max="27" width="9.83203125" style="211" hidden="1" customWidth="1"/>
    <col min="28" max="28" width="12.1640625" style="211" hidden="1" customWidth="1"/>
    <col min="29" max="29" width="9.83203125" style="211" hidden="1" customWidth="1"/>
    <col min="30" max="30" width="12.1640625" style="211" hidden="1" customWidth="1"/>
    <col min="31" max="31" width="9.83203125" style="211" hidden="1" customWidth="1"/>
    <col min="32" max="32" width="12.1640625" style="211" hidden="1" customWidth="1"/>
    <col min="33" max="33" width="9.83203125" style="211" hidden="1" customWidth="1"/>
    <col min="34" max="34" width="12.1640625" style="211" hidden="1" customWidth="1"/>
    <col min="35" max="35" width="9.83203125" style="211" hidden="1" customWidth="1"/>
    <col min="36" max="36" width="12.1640625" style="211" hidden="1" customWidth="1"/>
    <col min="37" max="37" width="9.83203125" style="211" hidden="1" customWidth="1"/>
    <col min="38" max="38" width="12.1640625" style="272" hidden="1" customWidth="1"/>
    <col min="39" max="39" width="9.83203125" style="211" hidden="1" customWidth="1"/>
    <col min="40" max="40" width="17.5" style="211" bestFit="1" customWidth="1"/>
    <col min="41" max="41" width="9.83203125" style="272" customWidth="1"/>
    <col min="42" max="42" width="18.1640625" style="217" customWidth="1"/>
    <col min="43" max="43" width="14.1640625" style="211" bestFit="1" customWidth="1"/>
    <col min="44" max="44" width="16" style="211" customWidth="1"/>
    <col min="45" max="45" width="11.5" style="211" bestFit="1" customWidth="1"/>
    <col min="46" max="16384" width="9" style="211"/>
  </cols>
  <sheetData>
    <row r="1" spans="2:46" s="1" customFormat="1" ht="30.75" customHeight="1">
      <c r="B1" s="277"/>
      <c r="C1" s="277" t="s">
        <v>0</v>
      </c>
      <c r="D1" s="277"/>
      <c r="E1" s="277"/>
      <c r="F1" s="277"/>
      <c r="G1" s="277"/>
      <c r="I1" s="2"/>
      <c r="K1" s="2"/>
      <c r="M1" s="2"/>
      <c r="O1" s="2"/>
      <c r="Q1" s="2"/>
      <c r="S1" s="2"/>
      <c r="U1" s="2"/>
      <c r="W1" s="3"/>
      <c r="Y1" s="3"/>
      <c r="AA1" s="3"/>
      <c r="AD1" s="3"/>
      <c r="AE1" s="3"/>
      <c r="AG1" s="3"/>
      <c r="AI1" s="3"/>
      <c r="AK1" s="3"/>
      <c r="AL1" s="2"/>
      <c r="AM1" s="3"/>
      <c r="AO1" s="2"/>
      <c r="AP1" s="4"/>
    </row>
    <row r="2" spans="2:46" s="10" customFormat="1" ht="23.5" customHeight="1" thickBot="1">
      <c r="B2" s="5"/>
      <c r="C2" s="6"/>
      <c r="D2" s="5"/>
      <c r="E2" s="5"/>
      <c r="F2" s="7"/>
      <c r="G2" s="8"/>
      <c r="H2" s="419" t="s">
        <v>457</v>
      </c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19"/>
      <c r="AP2" s="9"/>
    </row>
    <row r="3" spans="2:46" s="5" customFormat="1" ht="52.5" customHeight="1" thickBot="1">
      <c r="B3" s="11"/>
      <c r="C3" s="11" t="s">
        <v>2</v>
      </c>
      <c r="D3" s="11" t="s">
        <v>3</v>
      </c>
      <c r="E3" s="12" t="s">
        <v>4</v>
      </c>
      <c r="F3" s="12" t="s">
        <v>5</v>
      </c>
      <c r="G3" s="13" t="s">
        <v>6</v>
      </c>
      <c r="H3" s="519" t="s">
        <v>7</v>
      </c>
      <c r="I3" s="17" t="s">
        <v>458</v>
      </c>
      <c r="J3" s="519" t="s">
        <v>8</v>
      </c>
      <c r="K3" s="17" t="s">
        <v>490</v>
      </c>
      <c r="L3" s="518" t="s">
        <v>9</v>
      </c>
      <c r="M3" s="655" t="s">
        <v>491</v>
      </c>
      <c r="N3" s="692" t="s">
        <v>10</v>
      </c>
      <c r="O3" s="15" t="s">
        <v>11</v>
      </c>
      <c r="P3" s="518" t="s">
        <v>12</v>
      </c>
      <c r="Q3" s="17" t="s">
        <v>13</v>
      </c>
      <c r="R3" s="518" t="s">
        <v>341</v>
      </c>
      <c r="S3" s="17" t="s">
        <v>15</v>
      </c>
      <c r="T3" s="518" t="s">
        <v>342</v>
      </c>
      <c r="U3" s="655" t="s">
        <v>17</v>
      </c>
      <c r="V3" s="692" t="s">
        <v>18</v>
      </c>
      <c r="W3" s="693" t="s">
        <v>19</v>
      </c>
      <c r="X3" s="518" t="s">
        <v>344</v>
      </c>
      <c r="Y3" s="17" t="s">
        <v>21</v>
      </c>
      <c r="Z3" s="518" t="s">
        <v>345</v>
      </c>
      <c r="AA3" s="17" t="s">
        <v>23</v>
      </c>
      <c r="AB3" s="518" t="s">
        <v>346</v>
      </c>
      <c r="AC3" s="655" t="s">
        <v>25</v>
      </c>
      <c r="AD3" s="692" t="s">
        <v>26</v>
      </c>
      <c r="AE3" s="693" t="s">
        <v>27</v>
      </c>
      <c r="AF3" s="518" t="s">
        <v>347</v>
      </c>
      <c r="AG3" s="17" t="s">
        <v>29</v>
      </c>
      <c r="AH3" s="518" t="s">
        <v>348</v>
      </c>
      <c r="AI3" s="17" t="s">
        <v>31</v>
      </c>
      <c r="AJ3" s="518" t="s">
        <v>32</v>
      </c>
      <c r="AK3" s="655" t="s">
        <v>33</v>
      </c>
      <c r="AL3" s="700" t="s">
        <v>34</v>
      </c>
      <c r="AM3" s="693" t="s">
        <v>35</v>
      </c>
      <c r="AN3" s="593" t="s">
        <v>463</v>
      </c>
      <c r="AO3" s="13" t="s">
        <v>37</v>
      </c>
      <c r="AP3" s="19"/>
    </row>
    <row r="4" spans="2:46" s="10" customFormat="1" ht="21.75" customHeight="1" thickTop="1" thickBot="1">
      <c r="B4" s="449"/>
      <c r="C4" s="1348" t="s">
        <v>54</v>
      </c>
      <c r="D4" s="1350" t="s">
        <v>1027</v>
      </c>
      <c r="E4" s="1351" t="s">
        <v>56</v>
      </c>
      <c r="F4" s="104" t="s">
        <v>46</v>
      </c>
      <c r="G4" s="445" t="s">
        <v>57</v>
      </c>
      <c r="H4" s="446">
        <f>'월별원가(류)5월'!Q11</f>
        <v>1298904.5454545454</v>
      </c>
      <c r="I4" s="90">
        <f>H4/H11</f>
        <v>4.0444378617050129E-2</v>
      </c>
      <c r="J4" s="446">
        <f>'월별원가(류)5월'!R11</f>
        <v>1029270.9090909089</v>
      </c>
      <c r="K4" s="90">
        <f>J4/J11</f>
        <v>3.6878229613324758E-2</v>
      </c>
      <c r="L4" s="446">
        <f>'월별원가(류)5월'!S11</f>
        <v>1021823.6363636364</v>
      </c>
      <c r="M4" s="661">
        <f>L4/L11</f>
        <v>3.310278983080539E-2</v>
      </c>
      <c r="N4" s="447">
        <f t="shared" ref="N4:N27" si="0">SUM(H4,J4,L4)</f>
        <v>3349999.0909090904</v>
      </c>
      <c r="O4" s="34">
        <f>N4/N11</f>
        <v>3.6856102437164785E-2</v>
      </c>
      <c r="P4" s="446">
        <f>'월별원가(류)5월'!T11</f>
        <v>1202576.3636363635</v>
      </c>
      <c r="Q4" s="90">
        <f>P4/P11</f>
        <v>3.8145629325689115E-2</v>
      </c>
      <c r="R4" s="446">
        <f>'월별원가(류)5월'!U11</f>
        <v>927198.18181818177</v>
      </c>
      <c r="S4" s="90">
        <f>R4/R11</f>
        <v>3.4085680946378795E-2</v>
      </c>
      <c r="T4" s="446"/>
      <c r="U4" s="661" t="e">
        <f>T4/T11</f>
        <v>#DIV/0!</v>
      </c>
      <c r="V4" s="80">
        <f t="shared" ref="V4:V27" si="1">SUM(P4,R4,T4)</f>
        <v>2129774.5454545454</v>
      </c>
      <c r="W4" s="34">
        <f>V4/V$27</f>
        <v>1.0967050891475896E-2</v>
      </c>
      <c r="X4" s="446"/>
      <c r="Y4" s="90" t="e">
        <f>X4/X11</f>
        <v>#DIV/0!</v>
      </c>
      <c r="Z4" s="446"/>
      <c r="AA4" s="90" t="e">
        <f>Z4/Z11</f>
        <v>#DIV/0!</v>
      </c>
      <c r="AB4" s="446"/>
      <c r="AC4" s="661" t="e">
        <f>AB4/AB11</f>
        <v>#DIV/0!</v>
      </c>
      <c r="AD4" s="447">
        <f t="shared" ref="AD4:AD27" si="2">SUM(X4,Z4,AB4)</f>
        <v>0</v>
      </c>
      <c r="AE4" s="34" t="e">
        <f>AD4/AD$27</f>
        <v>#DIV/0!</v>
      </c>
      <c r="AF4" s="446"/>
      <c r="AG4" s="90" t="e">
        <f>AF4/AF11</f>
        <v>#DIV/0!</v>
      </c>
      <c r="AH4" s="446"/>
      <c r="AI4" s="90" t="e">
        <f>AH4/AH11</f>
        <v>#DIV/0!</v>
      </c>
      <c r="AJ4" s="446"/>
      <c r="AK4" s="661" t="e">
        <f>AJ4/AJ11</f>
        <v>#DIV/0!</v>
      </c>
      <c r="AL4" s="447">
        <f t="shared" ref="AL4:AL27" si="3">SUM(AF4,AH4,AJ4)</f>
        <v>0</v>
      </c>
      <c r="AM4" s="34" t="e">
        <f>AL4/AL$27</f>
        <v>#DIV/0!</v>
      </c>
      <c r="AN4" s="586">
        <f>SUM(AD4,V4,N4,AL4)</f>
        <v>5479773.6363636358</v>
      </c>
      <c r="AO4" s="448"/>
      <c r="AP4" s="27"/>
      <c r="AQ4" s="28"/>
      <c r="AR4" s="28"/>
      <c r="AS4" s="28"/>
    </row>
    <row r="5" spans="2:46" s="10" customFormat="1" ht="21.75" customHeight="1" thickBot="1">
      <c r="B5" s="434"/>
      <c r="C5" s="1348" t="s">
        <v>54</v>
      </c>
      <c r="D5" s="1350" t="s">
        <v>1027</v>
      </c>
      <c r="E5" s="1351" t="s">
        <v>56</v>
      </c>
      <c r="F5" s="471" t="s">
        <v>40</v>
      </c>
      <c r="G5" s="79" t="s">
        <v>57</v>
      </c>
      <c r="H5" s="401">
        <f>'월별원가(류)5월'!Q19</f>
        <v>1631721.8181818181</v>
      </c>
      <c r="I5" s="61">
        <f>H5/H16</f>
        <v>4.4456817351887938E-2</v>
      </c>
      <c r="J5" s="401">
        <f>'월별원가(류)5월'!R19</f>
        <v>1289300.9090909089</v>
      </c>
      <c r="K5" s="61">
        <f>J5/J16</f>
        <v>4.1560373470314167E-2</v>
      </c>
      <c r="L5" s="401">
        <f>'월별원가(류)5월'!S19</f>
        <v>1459183.6363636362</v>
      </c>
      <c r="M5" s="657">
        <f>L5/L16</f>
        <v>4.0488366327808729E-2</v>
      </c>
      <c r="N5" s="80">
        <f t="shared" si="0"/>
        <v>4380206.3636363633</v>
      </c>
      <c r="O5" s="60">
        <f>N5/N16</f>
        <v>4.2212565522392831E-2</v>
      </c>
      <c r="P5" s="401">
        <f>'월별원가(류)5월'!T19</f>
        <v>1459327.2727272727</v>
      </c>
      <c r="Q5" s="61">
        <f>P5/P16</f>
        <v>3.9821982249198723E-2</v>
      </c>
      <c r="R5" s="401">
        <f>'월별원가(류)5월'!U19</f>
        <v>1316907.2727272727</v>
      </c>
      <c r="S5" s="61">
        <f>R5/R16</f>
        <v>3.9420615425994968E-2</v>
      </c>
      <c r="T5" s="401"/>
      <c r="U5" s="657" t="e">
        <f>T5/T16</f>
        <v>#DIV/0!</v>
      </c>
      <c r="V5" s="80">
        <f t="shared" si="1"/>
        <v>2776234.5454545454</v>
      </c>
      <c r="W5" s="60">
        <f>V5/V$27</f>
        <v>1.4295928933724437E-2</v>
      </c>
      <c r="X5" s="401"/>
      <c r="Y5" s="61" t="e">
        <f>X5/X16</f>
        <v>#DIV/0!</v>
      </c>
      <c r="Z5" s="401"/>
      <c r="AA5" s="61" t="e">
        <f>Z5/Z16</f>
        <v>#DIV/0!</v>
      </c>
      <c r="AB5" s="401"/>
      <c r="AC5" s="657" t="e">
        <f>AB5/AB16</f>
        <v>#DIV/0!</v>
      </c>
      <c r="AD5" s="80">
        <f t="shared" si="2"/>
        <v>0</v>
      </c>
      <c r="AE5" s="60" t="e">
        <f>AD5/AD$27</f>
        <v>#DIV/0!</v>
      </c>
      <c r="AF5" s="401"/>
      <c r="AG5" s="61" t="e">
        <f>AF5/AF16</f>
        <v>#DIV/0!</v>
      </c>
      <c r="AH5" s="401"/>
      <c r="AI5" s="61" t="e">
        <f>AH5/AH16</f>
        <v>#DIV/0!</v>
      </c>
      <c r="AJ5" s="401"/>
      <c r="AK5" s="657" t="e">
        <f>AJ5/AJ16</f>
        <v>#DIV/0!</v>
      </c>
      <c r="AL5" s="80">
        <f t="shared" si="3"/>
        <v>0</v>
      </c>
      <c r="AM5" s="60" t="e">
        <f>AL5/AL$27</f>
        <v>#DIV/0!</v>
      </c>
      <c r="AN5" s="585">
        <f>SUM(AD5,V5,N5,AL5)</f>
        <v>7156440.9090909082</v>
      </c>
      <c r="AO5" s="66"/>
      <c r="AP5" s="27"/>
      <c r="AQ5" s="28"/>
      <c r="AR5" s="28"/>
      <c r="AS5" s="28"/>
    </row>
    <row r="6" spans="2:46" s="10" customFormat="1" ht="21.75" customHeight="1" thickBot="1">
      <c r="B6" s="1113" t="s">
        <v>58</v>
      </c>
      <c r="C6" s="1114"/>
      <c r="D6" s="1114"/>
      <c r="E6" s="1114"/>
      <c r="F6" s="1114"/>
      <c r="G6" s="1115"/>
      <c r="H6" s="705">
        <f>SUM(H4:H5)</f>
        <v>2930626.3636363633</v>
      </c>
      <c r="I6" s="706">
        <f>H6/H27</f>
        <v>3.4547477718325288E-2</v>
      </c>
      <c r="J6" s="707">
        <f>SUM(J4:J5)</f>
        <v>2318571.8181818179</v>
      </c>
      <c r="K6" s="706">
        <f>J6/J27</f>
        <v>3.1432881314101095E-2</v>
      </c>
      <c r="L6" s="708">
        <f>SUM(L4:L5)</f>
        <v>2481007.2727272725</v>
      </c>
      <c r="M6" s="709">
        <f>L6/L27</f>
        <v>2.4404956069656324E-2</v>
      </c>
      <c r="N6" s="710">
        <f t="shared" si="0"/>
        <v>7730205.4545454541</v>
      </c>
      <c r="O6" s="711">
        <f>N6/N27</f>
        <v>2.9702821458135558E-2</v>
      </c>
      <c r="P6" s="708">
        <f>SUM(P4:P5)</f>
        <v>2661903.6363636362</v>
      </c>
      <c r="Q6" s="706">
        <f>P6/P27</f>
        <v>2.6076823067734799E-2</v>
      </c>
      <c r="R6" s="708">
        <f>SUM(R4:R5)</f>
        <v>2244105.4545454546</v>
      </c>
      <c r="S6" s="706">
        <f>R6/R27</f>
        <v>2.4361133296852563E-2</v>
      </c>
      <c r="T6" s="708">
        <f>SUM(T4:T5)</f>
        <v>0</v>
      </c>
      <c r="U6" s="709" t="e">
        <f>T6/T27</f>
        <v>#DIV/0!</v>
      </c>
      <c r="V6" s="710">
        <f t="shared" si="1"/>
        <v>4906009.0909090908</v>
      </c>
      <c r="W6" s="712">
        <f>V6/V$27</f>
        <v>2.5262979825200333E-2</v>
      </c>
      <c r="X6" s="708">
        <f>SUM(X4:X5)</f>
        <v>0</v>
      </c>
      <c r="Y6" s="706" t="e">
        <f>X6/X27</f>
        <v>#DIV/0!</v>
      </c>
      <c r="Z6" s="708">
        <f>SUM(Z4:Z5)</f>
        <v>0</v>
      </c>
      <c r="AA6" s="706" t="e">
        <f>Z6/Z27</f>
        <v>#DIV/0!</v>
      </c>
      <c r="AB6" s="708">
        <f>SUM(AB4:AB5)</f>
        <v>0</v>
      </c>
      <c r="AC6" s="709" t="e">
        <f>AB6/AB27</f>
        <v>#DIV/0!</v>
      </c>
      <c r="AD6" s="710">
        <f t="shared" si="2"/>
        <v>0</v>
      </c>
      <c r="AE6" s="712" t="e">
        <f>AD6/AD$27</f>
        <v>#DIV/0!</v>
      </c>
      <c r="AF6" s="708">
        <f>SUM(AF4:AF5)</f>
        <v>0</v>
      </c>
      <c r="AG6" s="706" t="e">
        <f>AF6/AF27</f>
        <v>#DIV/0!</v>
      </c>
      <c r="AH6" s="708">
        <f>SUM(AH4:AH5)</f>
        <v>0</v>
      </c>
      <c r="AI6" s="706" t="e">
        <f>AH6/AH27</f>
        <v>#DIV/0!</v>
      </c>
      <c r="AJ6" s="708">
        <f>SUM(AJ4:AJ5)</f>
        <v>0</v>
      </c>
      <c r="AK6" s="709" t="e">
        <f>AJ6/AJ27</f>
        <v>#DIV/0!</v>
      </c>
      <c r="AL6" s="710">
        <f t="shared" si="3"/>
        <v>0</v>
      </c>
      <c r="AM6" s="712" t="e">
        <f>AL6/AL$27</f>
        <v>#DIV/0!</v>
      </c>
      <c r="AN6" s="710">
        <f>SUM(AN4:AN5)</f>
        <v>12636214.545454543</v>
      </c>
      <c r="AO6" s="713"/>
      <c r="AP6" s="28"/>
      <c r="AQ6" s="28"/>
      <c r="AR6" s="28"/>
      <c r="AS6" s="28"/>
    </row>
    <row r="7" spans="2:46" s="10" customFormat="1" ht="18" customHeight="1" thickTop="1" thickBot="1">
      <c r="B7" s="1111"/>
      <c r="C7" s="1352" t="s">
        <v>38</v>
      </c>
      <c r="D7" s="1353" t="s">
        <v>39</v>
      </c>
      <c r="E7" s="1353" t="s">
        <v>39</v>
      </c>
      <c r="F7" s="1121" t="s">
        <v>46</v>
      </c>
      <c r="G7" s="20" t="s">
        <v>41</v>
      </c>
      <c r="H7" s="57">
        <v>26032869</v>
      </c>
      <c r="I7" s="24">
        <f t="shared" ref="I7:I26" si="4">H7/H$27</f>
        <v>0.30688660038041493</v>
      </c>
      <c r="J7" s="444">
        <v>23030641</v>
      </c>
      <c r="K7" s="24">
        <f t="shared" ref="K7:K26" si="5">J7/J$27</f>
        <v>0.31222643157474206</v>
      </c>
      <c r="L7" s="21">
        <v>25936284</v>
      </c>
      <c r="M7" s="656">
        <f t="shared" ref="M7:M26" si="6">L7/L$27</f>
        <v>0.25512777757169863</v>
      </c>
      <c r="N7" s="22">
        <f t="shared" si="0"/>
        <v>74999794</v>
      </c>
      <c r="O7" s="23">
        <f t="shared" ref="O7:O16" si="7">N7/$N$27</f>
        <v>0.28818192526422814</v>
      </c>
      <c r="P7" s="21">
        <v>25857801</v>
      </c>
      <c r="Q7" s="24">
        <f>P7/$P$27</f>
        <v>0.25331093597318444</v>
      </c>
      <c r="R7" s="21">
        <v>22822321</v>
      </c>
      <c r="S7" s="24">
        <f>R7/$R$27</f>
        <v>0.24775021285137031</v>
      </c>
      <c r="T7" s="21"/>
      <c r="U7" s="656" t="e">
        <f>T7/$T$27</f>
        <v>#DIV/0!</v>
      </c>
      <c r="V7" s="22">
        <f t="shared" si="1"/>
        <v>48680122</v>
      </c>
      <c r="W7" s="23">
        <f t="shared" ref="W7:W19" si="8">V7/V$27</f>
        <v>0.25067318816288742</v>
      </c>
      <c r="X7" s="21"/>
      <c r="Y7" s="24" t="e">
        <f>X7/X$27</f>
        <v>#DIV/0!</v>
      </c>
      <c r="Z7" s="21"/>
      <c r="AA7" s="24" t="e">
        <f>Z7/Z$27</f>
        <v>#DIV/0!</v>
      </c>
      <c r="AB7" s="21"/>
      <c r="AC7" s="656" t="e">
        <f>AB7/AB$27</f>
        <v>#DIV/0!</v>
      </c>
      <c r="AD7" s="22">
        <f t="shared" si="2"/>
        <v>0</v>
      </c>
      <c r="AE7" s="23" t="e">
        <f t="shared" ref="AE7:AE19" si="9">AD7/AD$27</f>
        <v>#DIV/0!</v>
      </c>
      <c r="AF7" s="21"/>
      <c r="AG7" s="24" t="e">
        <f>AF7/AF$27</f>
        <v>#DIV/0!</v>
      </c>
      <c r="AH7" s="21"/>
      <c r="AI7" s="24" t="e">
        <f>AH7/AH$27</f>
        <v>#DIV/0!</v>
      </c>
      <c r="AJ7" s="21"/>
      <c r="AK7" s="656" t="e">
        <f>AJ7/AJ$27</f>
        <v>#DIV/0!</v>
      </c>
      <c r="AL7" s="22">
        <f t="shared" si="3"/>
        <v>0</v>
      </c>
      <c r="AM7" s="23" t="e">
        <f t="shared" ref="AM7:AM19" si="10">AL7/AL$27</f>
        <v>#DIV/0!</v>
      </c>
      <c r="AN7" s="591">
        <f>SUM(N7+V7+AD7+AL7)</f>
        <v>123679916</v>
      </c>
      <c r="AO7" s="26"/>
      <c r="AP7" s="27"/>
      <c r="AQ7" s="28"/>
      <c r="AR7" s="28"/>
      <c r="AS7" s="28"/>
      <c r="AT7" s="28"/>
    </row>
    <row r="8" spans="2:46" s="10" customFormat="1" ht="18" customHeight="1" thickTop="1" thickBot="1">
      <c r="B8" s="1112"/>
      <c r="C8" s="1352" t="s">
        <v>38</v>
      </c>
      <c r="D8" s="1353" t="s">
        <v>39</v>
      </c>
      <c r="E8" s="1353" t="s">
        <v>39</v>
      </c>
      <c r="F8" s="1122"/>
      <c r="G8" s="55" t="s">
        <v>42</v>
      </c>
      <c r="H8" s="31">
        <v>4792500</v>
      </c>
      <c r="I8" s="61">
        <f t="shared" si="4"/>
        <v>5.6496040921311386E-2</v>
      </c>
      <c r="J8" s="67">
        <v>3709800</v>
      </c>
      <c r="K8" s="61">
        <f t="shared" si="5"/>
        <v>5.029376368013283E-2</v>
      </c>
      <c r="L8" s="68">
        <v>3612600</v>
      </c>
      <c r="M8" s="657">
        <f t="shared" si="6"/>
        <v>3.5536108767760199E-2</v>
      </c>
      <c r="N8" s="45">
        <f t="shared" si="0"/>
        <v>12114900</v>
      </c>
      <c r="O8" s="60">
        <f t="shared" si="7"/>
        <v>4.6550730611121374E-2</v>
      </c>
      <c r="P8" s="68">
        <v>4325400</v>
      </c>
      <c r="Q8" s="61">
        <f>P8/$P$27</f>
        <v>4.2372942790394746E-2</v>
      </c>
      <c r="R8" s="68">
        <v>3385800</v>
      </c>
      <c r="S8" s="61">
        <f>R8/$R$27</f>
        <v>3.6754923860380789E-2</v>
      </c>
      <c r="T8" s="68"/>
      <c r="U8" s="657" t="e">
        <f>T8/$T$27</f>
        <v>#DIV/0!</v>
      </c>
      <c r="V8" s="33">
        <f t="shared" si="1"/>
        <v>7711200</v>
      </c>
      <c r="W8" s="34">
        <f t="shared" si="8"/>
        <v>3.9708016519795442E-2</v>
      </c>
      <c r="X8" s="68"/>
      <c r="Y8" s="61" t="e">
        <f>X8/X$27</f>
        <v>#DIV/0!</v>
      </c>
      <c r="Z8" s="68"/>
      <c r="AA8" s="61" t="e">
        <f>Z8/Z$27</f>
        <v>#DIV/0!</v>
      </c>
      <c r="AB8" s="68"/>
      <c r="AC8" s="657" t="e">
        <f>AB8/AB$27</f>
        <v>#DIV/0!</v>
      </c>
      <c r="AD8" s="45">
        <f t="shared" si="2"/>
        <v>0</v>
      </c>
      <c r="AE8" s="34" t="e">
        <f t="shared" si="9"/>
        <v>#DIV/0!</v>
      </c>
      <c r="AF8" s="68"/>
      <c r="AG8" s="61" t="e">
        <f>AF8/AF$27</f>
        <v>#DIV/0!</v>
      </c>
      <c r="AH8" s="68"/>
      <c r="AI8" s="61" t="e">
        <f>AH8/AH$27</f>
        <v>#DIV/0!</v>
      </c>
      <c r="AJ8" s="68"/>
      <c r="AK8" s="657" t="e">
        <f>AJ8/AJ$27</f>
        <v>#DIV/0!</v>
      </c>
      <c r="AL8" s="701">
        <f t="shared" si="3"/>
        <v>0</v>
      </c>
      <c r="AM8" s="34" t="e">
        <f t="shared" si="10"/>
        <v>#DIV/0!</v>
      </c>
      <c r="AN8" s="586">
        <f>SUM(N8+V8+AD8+AL8)</f>
        <v>19826100</v>
      </c>
      <c r="AO8" s="40"/>
      <c r="AP8" s="27"/>
      <c r="AQ8" s="28"/>
      <c r="AR8" s="28"/>
      <c r="AS8" s="28"/>
      <c r="AT8" s="28"/>
    </row>
    <row r="9" spans="2:46" s="10" customFormat="1" ht="18" customHeight="1" thickTop="1" thickBot="1">
      <c r="B9" s="1112"/>
      <c r="C9" s="1352" t="s">
        <v>38</v>
      </c>
      <c r="D9" s="1353" t="s">
        <v>39</v>
      </c>
      <c r="E9" s="1353" t="s">
        <v>39</v>
      </c>
      <c r="F9" s="1122"/>
      <c r="G9" s="69" t="s">
        <v>43</v>
      </c>
      <c r="H9" s="31">
        <v>271364</v>
      </c>
      <c r="I9" s="61">
        <f t="shared" si="4"/>
        <v>3.1989549605781413E-3</v>
      </c>
      <c r="J9" s="30">
        <v>271364</v>
      </c>
      <c r="K9" s="61">
        <f t="shared" si="5"/>
        <v>3.6788821196009395E-3</v>
      </c>
      <c r="L9" s="32">
        <v>282955</v>
      </c>
      <c r="M9" s="657">
        <f t="shared" si="6"/>
        <v>2.7833470786640057E-3</v>
      </c>
      <c r="N9" s="33">
        <f t="shared" si="0"/>
        <v>825683</v>
      </c>
      <c r="O9" s="60">
        <f t="shared" si="7"/>
        <v>3.1726342688080406E-3</v>
      </c>
      <c r="P9" s="32">
        <v>444545</v>
      </c>
      <c r="Q9" s="61">
        <f>P9/$P$27</f>
        <v>4.3548989348397909E-3</v>
      </c>
      <c r="R9" s="32">
        <v>233864</v>
      </c>
      <c r="S9" s="61">
        <f>R9/$R$27</f>
        <v>2.538736344049883E-3</v>
      </c>
      <c r="T9" s="32"/>
      <c r="U9" s="657" t="e">
        <f>T9/$T$27</f>
        <v>#DIV/0!</v>
      </c>
      <c r="V9" s="33">
        <f t="shared" si="1"/>
        <v>678409</v>
      </c>
      <c r="W9" s="34">
        <f t="shared" si="8"/>
        <v>3.4933960705438721E-3</v>
      </c>
      <c r="X9" s="32"/>
      <c r="Y9" s="61" t="e">
        <f>X9/X$27</f>
        <v>#DIV/0!</v>
      </c>
      <c r="Z9" s="32"/>
      <c r="AA9" s="61" t="e">
        <f>Z9/Z$27</f>
        <v>#DIV/0!</v>
      </c>
      <c r="AB9" s="32"/>
      <c r="AC9" s="657" t="e">
        <f>AB9/AB$27</f>
        <v>#DIV/0!</v>
      </c>
      <c r="AD9" s="33">
        <f t="shared" si="2"/>
        <v>0</v>
      </c>
      <c r="AE9" s="34" t="e">
        <f t="shared" si="9"/>
        <v>#DIV/0!</v>
      </c>
      <c r="AF9" s="32"/>
      <c r="AG9" s="61" t="e">
        <f>AF9/AF$27</f>
        <v>#DIV/0!</v>
      </c>
      <c r="AH9" s="32"/>
      <c r="AI9" s="61" t="e">
        <f>AH9/AH$27</f>
        <v>#DIV/0!</v>
      </c>
      <c r="AJ9" s="32"/>
      <c r="AK9" s="657" t="e">
        <f>AJ9/AJ$27</f>
        <v>#DIV/0!</v>
      </c>
      <c r="AL9" s="33">
        <f t="shared" si="3"/>
        <v>0</v>
      </c>
      <c r="AM9" s="34" t="e">
        <f t="shared" si="10"/>
        <v>#DIV/0!</v>
      </c>
      <c r="AN9" s="586">
        <f>SUM(N9+V9+AD9+AL9)</f>
        <v>1504092</v>
      </c>
      <c r="AO9" s="40"/>
      <c r="AP9" s="27"/>
      <c r="AQ9" s="28"/>
      <c r="AR9" s="28"/>
      <c r="AS9" s="28"/>
      <c r="AT9" s="28"/>
    </row>
    <row r="10" spans="2:46" s="10" customFormat="1" ht="18" customHeight="1" thickTop="1" thickBot="1">
      <c r="B10" s="1112"/>
      <c r="C10" s="1352" t="s">
        <v>38</v>
      </c>
      <c r="D10" s="1353" t="s">
        <v>39</v>
      </c>
      <c r="E10" s="1353" t="s">
        <v>39</v>
      </c>
      <c r="F10" s="1122"/>
      <c r="G10" s="41" t="s">
        <v>44</v>
      </c>
      <c r="H10" s="42">
        <v>1019091</v>
      </c>
      <c r="I10" s="61">
        <f t="shared" si="4"/>
        <v>1.2013480821813279E-2</v>
      </c>
      <c r="J10" s="42">
        <v>898182</v>
      </c>
      <c r="K10" s="61">
        <f t="shared" si="5"/>
        <v>1.2176654603954139E-2</v>
      </c>
      <c r="L10" s="68">
        <v>1036364</v>
      </c>
      <c r="M10" s="657">
        <f t="shared" si="6"/>
        <v>1.0194415054805688E-2</v>
      </c>
      <c r="N10" s="45">
        <f t="shared" si="0"/>
        <v>2953637</v>
      </c>
      <c r="O10" s="60">
        <f t="shared" si="7"/>
        <v>1.1349161801586535E-2</v>
      </c>
      <c r="P10" s="68">
        <v>898182</v>
      </c>
      <c r="Q10" s="61">
        <f>P10/$P$27</f>
        <v>8.7988658855510087E-3</v>
      </c>
      <c r="R10" s="68">
        <v>760000</v>
      </c>
      <c r="S10" s="61">
        <f>R10/$R$27</f>
        <v>8.2502634927903006E-3</v>
      </c>
      <c r="T10" s="68"/>
      <c r="U10" s="657" t="e">
        <f>T10/$T$27</f>
        <v>#DIV/0!</v>
      </c>
      <c r="V10" s="33">
        <f t="shared" si="1"/>
        <v>1658182</v>
      </c>
      <c r="W10" s="34">
        <f t="shared" si="8"/>
        <v>8.5386344860498304E-3</v>
      </c>
      <c r="X10" s="68"/>
      <c r="Y10" s="61" t="e">
        <f>X10/X$27</f>
        <v>#DIV/0!</v>
      </c>
      <c r="Z10" s="68"/>
      <c r="AA10" s="61" t="e">
        <f>Z10/Z$27</f>
        <v>#DIV/0!</v>
      </c>
      <c r="AB10" s="68"/>
      <c r="AC10" s="657" t="e">
        <f>AB10/AB$27</f>
        <v>#DIV/0!</v>
      </c>
      <c r="AD10" s="701">
        <f t="shared" si="2"/>
        <v>0</v>
      </c>
      <c r="AE10" s="34" t="e">
        <f t="shared" si="9"/>
        <v>#DIV/0!</v>
      </c>
      <c r="AF10" s="68"/>
      <c r="AG10" s="61" t="e">
        <f>AF10/AF$27</f>
        <v>#DIV/0!</v>
      </c>
      <c r="AH10" s="68"/>
      <c r="AI10" s="61" t="e">
        <f>AH10/AH$27</f>
        <v>#DIV/0!</v>
      </c>
      <c r="AJ10" s="68"/>
      <c r="AK10" s="657" t="e">
        <f>AJ10/AJ$27</f>
        <v>#DIV/0!</v>
      </c>
      <c r="AL10" s="701">
        <f t="shared" si="3"/>
        <v>0</v>
      </c>
      <c r="AM10" s="34" t="e">
        <f t="shared" si="10"/>
        <v>#DIV/0!</v>
      </c>
      <c r="AN10" s="592">
        <f>SUM(N10+V10+AD10+AL10)</f>
        <v>4611819</v>
      </c>
      <c r="AO10" s="70"/>
      <c r="AP10" s="27"/>
      <c r="AQ10" s="28"/>
      <c r="AR10" s="411"/>
      <c r="AS10" s="28"/>
      <c r="AT10" s="28"/>
    </row>
    <row r="11" spans="2:46" s="10" customFormat="1" ht="18" customHeight="1" thickTop="1" thickBot="1">
      <c r="B11" s="1112"/>
      <c r="C11" s="1352" t="s">
        <v>38</v>
      </c>
      <c r="D11" s="1353" t="s">
        <v>39</v>
      </c>
      <c r="E11" s="1353" t="s">
        <v>39</v>
      </c>
      <c r="F11" s="1123"/>
      <c r="G11" s="435" t="s">
        <v>47</v>
      </c>
      <c r="H11" s="303">
        <f>SUM(H7:H10)</f>
        <v>32115824</v>
      </c>
      <c r="I11" s="297">
        <f t="shared" si="4"/>
        <v>0.37859507708411771</v>
      </c>
      <c r="J11" s="303">
        <f>SUM(J7:J10)</f>
        <v>27909987</v>
      </c>
      <c r="K11" s="297">
        <f t="shared" si="5"/>
        <v>0.37837573197842994</v>
      </c>
      <c r="L11" s="436">
        <f>SUM(L7:L10)</f>
        <v>30868203</v>
      </c>
      <c r="M11" s="658">
        <f t="shared" si="6"/>
        <v>0.30364164847292852</v>
      </c>
      <c r="N11" s="437">
        <f t="shared" si="0"/>
        <v>90894014</v>
      </c>
      <c r="O11" s="438">
        <f t="shared" si="7"/>
        <v>0.34925445194574406</v>
      </c>
      <c r="P11" s="436">
        <f>SUM(P7:P10)</f>
        <v>31525928</v>
      </c>
      <c r="Q11" s="297">
        <f>P11/P27</f>
        <v>0.30883764358396998</v>
      </c>
      <c r="R11" s="436">
        <f>SUM(R7:R10)</f>
        <v>27201985</v>
      </c>
      <c r="S11" s="297">
        <f>R11/R27</f>
        <v>0.29529413654859127</v>
      </c>
      <c r="T11" s="436">
        <f>SUM(T7:T10)</f>
        <v>0</v>
      </c>
      <c r="U11" s="658" t="e">
        <f>T11/T27</f>
        <v>#DIV/0!</v>
      </c>
      <c r="V11" s="437">
        <f t="shared" si="1"/>
        <v>58727913</v>
      </c>
      <c r="W11" s="694">
        <f t="shared" si="8"/>
        <v>0.3024132352392766</v>
      </c>
      <c r="X11" s="436">
        <f>SUM(X7:X10)</f>
        <v>0</v>
      </c>
      <c r="Y11" s="297" t="e">
        <f>X11/X27</f>
        <v>#DIV/0!</v>
      </c>
      <c r="Z11" s="436">
        <f>SUM(Z7:Z10)</f>
        <v>0</v>
      </c>
      <c r="AA11" s="297" t="e">
        <f>Z11/Z27</f>
        <v>#DIV/0!</v>
      </c>
      <c r="AB11" s="436">
        <f>SUM(AB7:AB10)</f>
        <v>0</v>
      </c>
      <c r="AC11" s="658" t="e">
        <f>AB11/AB27</f>
        <v>#DIV/0!</v>
      </c>
      <c r="AD11" s="437">
        <f t="shared" si="2"/>
        <v>0</v>
      </c>
      <c r="AE11" s="694" t="e">
        <f t="shared" si="9"/>
        <v>#DIV/0!</v>
      </c>
      <c r="AF11" s="436">
        <f>SUM(AF7:AF10)</f>
        <v>0</v>
      </c>
      <c r="AG11" s="297" t="e">
        <f>AF11/AF27</f>
        <v>#DIV/0!</v>
      </c>
      <c r="AH11" s="436">
        <f>SUM(AH7:AH10)</f>
        <v>0</v>
      </c>
      <c r="AI11" s="297" t="e">
        <f>AH11/AH27</f>
        <v>#DIV/0!</v>
      </c>
      <c r="AJ11" s="436">
        <f>SUM(AJ7:AJ10)</f>
        <v>0</v>
      </c>
      <c r="AK11" s="658" t="e">
        <f>AJ11/AJ27</f>
        <v>#DIV/0!</v>
      </c>
      <c r="AL11" s="437">
        <f t="shared" si="3"/>
        <v>0</v>
      </c>
      <c r="AM11" s="694" t="e">
        <f t="shared" si="10"/>
        <v>#DIV/0!</v>
      </c>
      <c r="AN11" s="295">
        <f>SUM(AN7:AN10)</f>
        <v>149621927</v>
      </c>
      <c r="AO11" s="439"/>
      <c r="AP11" s="28">
        <f>R11+R16+R22+R24+R26</f>
        <v>92118270</v>
      </c>
      <c r="AQ11" s="28"/>
      <c r="AR11" s="411"/>
      <c r="AS11" s="28"/>
      <c r="AT11" s="28"/>
    </row>
    <row r="12" spans="2:46" s="10" customFormat="1" ht="18" customHeight="1" thickTop="1" thickBot="1">
      <c r="B12" s="1112"/>
      <c r="C12" s="1352" t="s">
        <v>38</v>
      </c>
      <c r="D12" s="1353" t="s">
        <v>39</v>
      </c>
      <c r="E12" s="1353" t="s">
        <v>39</v>
      </c>
      <c r="F12" s="1119" t="s">
        <v>40</v>
      </c>
      <c r="G12" s="55" t="s">
        <v>41</v>
      </c>
      <c r="H12" s="57">
        <v>29669531</v>
      </c>
      <c r="I12" s="61">
        <f t="shared" si="4"/>
        <v>0.34975712832386369</v>
      </c>
      <c r="J12" s="57">
        <v>25419534</v>
      </c>
      <c r="K12" s="61">
        <f t="shared" si="5"/>
        <v>0.34461265724704881</v>
      </c>
      <c r="L12" s="58">
        <v>29658333</v>
      </c>
      <c r="M12" s="657">
        <f t="shared" si="6"/>
        <v>0.29174050472193203</v>
      </c>
      <c r="N12" s="59">
        <f t="shared" si="0"/>
        <v>84747398</v>
      </c>
      <c r="O12" s="60">
        <f t="shared" si="7"/>
        <v>0.32563647197182694</v>
      </c>
      <c r="P12" s="58">
        <v>30195047</v>
      </c>
      <c r="Q12" s="61">
        <f>P12/$P$27</f>
        <v>0.29579992580669545</v>
      </c>
      <c r="R12" s="58">
        <v>27783036</v>
      </c>
      <c r="S12" s="61">
        <f>R12/$R$27</f>
        <v>0.30160179951273508</v>
      </c>
      <c r="T12" s="58"/>
      <c r="U12" s="657" t="e">
        <f>T12/$T$27</f>
        <v>#DIV/0!</v>
      </c>
      <c r="V12" s="59">
        <f t="shared" si="1"/>
        <v>57978083</v>
      </c>
      <c r="W12" s="60">
        <f t="shared" si="8"/>
        <v>0.29855206421180508</v>
      </c>
      <c r="X12" s="58"/>
      <c r="Y12" s="61" t="e">
        <f>X12/X$27</f>
        <v>#DIV/0!</v>
      </c>
      <c r="Z12" s="58"/>
      <c r="AA12" s="61" t="e">
        <f>Z12/Z$27</f>
        <v>#DIV/0!</v>
      </c>
      <c r="AB12" s="58"/>
      <c r="AC12" s="657" t="e">
        <f>AB12/AB$27</f>
        <v>#DIV/0!</v>
      </c>
      <c r="AD12" s="59">
        <f t="shared" si="2"/>
        <v>0</v>
      </c>
      <c r="AE12" s="60" t="e">
        <f t="shared" si="9"/>
        <v>#DIV/0!</v>
      </c>
      <c r="AF12" s="58"/>
      <c r="AG12" s="61" t="e">
        <f>AF12/AF$27</f>
        <v>#DIV/0!</v>
      </c>
      <c r="AH12" s="58"/>
      <c r="AI12" s="61" t="e">
        <f>AH12/AH$27</f>
        <v>#DIV/0!</v>
      </c>
      <c r="AJ12" s="58"/>
      <c r="AK12" s="657" t="e">
        <f>AJ12/AJ$27</f>
        <v>#DIV/0!</v>
      </c>
      <c r="AL12" s="59">
        <f t="shared" si="3"/>
        <v>0</v>
      </c>
      <c r="AM12" s="60" t="e">
        <f t="shared" si="10"/>
        <v>#DIV/0!</v>
      </c>
      <c r="AN12" s="585">
        <f>SUM(AD12,V12,N12,AL12)</f>
        <v>142725481</v>
      </c>
      <c r="AO12" s="66"/>
      <c r="AP12" s="27"/>
      <c r="AQ12" s="28"/>
      <c r="AR12" s="28"/>
      <c r="AS12" s="28"/>
      <c r="AT12" s="28"/>
    </row>
    <row r="13" spans="2:46" s="10" customFormat="1" ht="18" customHeight="1" thickTop="1" thickBot="1">
      <c r="B13" s="1112"/>
      <c r="C13" s="1352" t="s">
        <v>38</v>
      </c>
      <c r="D13" s="1353" t="s">
        <v>39</v>
      </c>
      <c r="E13" s="1353" t="s">
        <v>39</v>
      </c>
      <c r="F13" s="1119"/>
      <c r="G13" s="29" t="s">
        <v>42</v>
      </c>
      <c r="H13" s="31">
        <v>6107400</v>
      </c>
      <c r="I13" s="24">
        <f t="shared" si="4"/>
        <v>7.1996644824792302E-2</v>
      </c>
      <c r="J13" s="31">
        <v>4760100</v>
      </c>
      <c r="K13" s="24">
        <f t="shared" si="5"/>
        <v>6.4532682218394602E-2</v>
      </c>
      <c r="L13" s="32">
        <v>5524200</v>
      </c>
      <c r="M13" s="656">
        <f t="shared" si="6"/>
        <v>5.4339969012583977E-2</v>
      </c>
      <c r="N13" s="33">
        <f t="shared" si="0"/>
        <v>16391700</v>
      </c>
      <c r="O13" s="34">
        <f t="shared" si="7"/>
        <v>6.2984061854271869E-2</v>
      </c>
      <c r="P13" s="32">
        <v>5346000</v>
      </c>
      <c r="Q13" s="24">
        <f>P13/$P$27</f>
        <v>5.2371052887004742E-2</v>
      </c>
      <c r="R13" s="32">
        <v>5005800</v>
      </c>
      <c r="S13" s="24">
        <f>R13/$R$27</f>
        <v>5.434101183185485E-2</v>
      </c>
      <c r="T13" s="32"/>
      <c r="U13" s="656" t="e">
        <f>T13/$T$27</f>
        <v>#DIV/0!</v>
      </c>
      <c r="V13" s="33">
        <f t="shared" si="1"/>
        <v>10351800</v>
      </c>
      <c r="W13" s="34">
        <f t="shared" si="8"/>
        <v>5.3305509571742203E-2</v>
      </c>
      <c r="X13" s="32"/>
      <c r="Y13" s="24" t="e">
        <f>X13/X$27</f>
        <v>#DIV/0!</v>
      </c>
      <c r="Z13" s="32"/>
      <c r="AA13" s="24" t="e">
        <f>Z13/Z$27</f>
        <v>#DIV/0!</v>
      </c>
      <c r="AB13" s="32"/>
      <c r="AC13" s="656" t="e">
        <f>AB13/AB$27</f>
        <v>#DIV/0!</v>
      </c>
      <c r="AD13" s="33">
        <f t="shared" si="2"/>
        <v>0</v>
      </c>
      <c r="AE13" s="34" t="e">
        <f t="shared" si="9"/>
        <v>#DIV/0!</v>
      </c>
      <c r="AF13" s="32"/>
      <c r="AG13" s="24" t="e">
        <f>AF13/AF$27</f>
        <v>#DIV/0!</v>
      </c>
      <c r="AH13" s="32"/>
      <c r="AI13" s="24" t="e">
        <f>AH13/AH$27</f>
        <v>#DIV/0!</v>
      </c>
      <c r="AJ13" s="32"/>
      <c r="AK13" s="656" t="e">
        <f>AJ13/AJ$27</f>
        <v>#DIV/0!</v>
      </c>
      <c r="AL13" s="33">
        <f t="shared" si="3"/>
        <v>0</v>
      </c>
      <c r="AM13" s="34" t="e">
        <f t="shared" si="10"/>
        <v>#DIV/0!</v>
      </c>
      <c r="AN13" s="586">
        <f>SUM(N13+V13+AD13+AL13)</f>
        <v>26743500</v>
      </c>
      <c r="AO13" s="40"/>
      <c r="AP13" s="27"/>
      <c r="AQ13" s="28"/>
      <c r="AR13" s="28"/>
      <c r="AS13" s="28"/>
      <c r="AT13" s="28"/>
    </row>
    <row r="14" spans="2:46" s="10" customFormat="1" ht="18" customHeight="1" thickTop="1" thickBot="1">
      <c r="B14" s="1112"/>
      <c r="C14" s="1352" t="s">
        <v>38</v>
      </c>
      <c r="D14" s="1353" t="s">
        <v>39</v>
      </c>
      <c r="E14" s="1353" t="s">
        <v>39</v>
      </c>
      <c r="F14" s="1119"/>
      <c r="G14" s="29" t="s">
        <v>43</v>
      </c>
      <c r="H14" s="31">
        <v>926592</v>
      </c>
      <c r="I14" s="24">
        <f t="shared" si="4"/>
        <v>1.092306302542718E-2</v>
      </c>
      <c r="J14" s="31">
        <v>842727</v>
      </c>
      <c r="K14" s="24">
        <f t="shared" si="5"/>
        <v>1.1424851093015068E-2</v>
      </c>
      <c r="L14" s="32">
        <v>857045</v>
      </c>
      <c r="M14" s="656">
        <f t="shared" si="6"/>
        <v>8.4305055469371202E-3</v>
      </c>
      <c r="N14" s="33">
        <f t="shared" si="0"/>
        <v>2626364</v>
      </c>
      <c r="O14" s="34">
        <f t="shared" si="7"/>
        <v>1.0091636171222806E-2</v>
      </c>
      <c r="P14" s="32">
        <v>1105227</v>
      </c>
      <c r="Q14" s="24">
        <f>P14/$P$27</f>
        <v>1.0827142100476167E-2</v>
      </c>
      <c r="R14" s="32">
        <v>617727</v>
      </c>
      <c r="S14" s="24">
        <f>R14/$R$27</f>
        <v>6.7058033113300978E-3</v>
      </c>
      <c r="T14" s="32"/>
      <c r="U14" s="656" t="e">
        <f>T14/$T$27</f>
        <v>#DIV/0!</v>
      </c>
      <c r="V14" s="33">
        <f t="shared" si="1"/>
        <v>1722954</v>
      </c>
      <c r="W14" s="34">
        <f t="shared" si="8"/>
        <v>8.8721711140740279E-3</v>
      </c>
      <c r="X14" s="32"/>
      <c r="Y14" s="24" t="e">
        <f>X14/X$27</f>
        <v>#DIV/0!</v>
      </c>
      <c r="Z14" s="32"/>
      <c r="AA14" s="24" t="e">
        <f>Z14/Z$27</f>
        <v>#DIV/0!</v>
      </c>
      <c r="AB14" s="32"/>
      <c r="AC14" s="656" t="e">
        <f>AB14/AB$27</f>
        <v>#DIV/0!</v>
      </c>
      <c r="AD14" s="33">
        <f t="shared" si="2"/>
        <v>0</v>
      </c>
      <c r="AE14" s="34" t="e">
        <f t="shared" si="9"/>
        <v>#DIV/0!</v>
      </c>
      <c r="AF14" s="32"/>
      <c r="AG14" s="24" t="e">
        <f>AF14/AF$27</f>
        <v>#DIV/0!</v>
      </c>
      <c r="AH14" s="32"/>
      <c r="AI14" s="24" t="e">
        <f>AH14/AH$27</f>
        <v>#DIV/0!</v>
      </c>
      <c r="AJ14" s="32"/>
      <c r="AK14" s="656" t="e">
        <f>AJ14/AJ$27</f>
        <v>#DIV/0!</v>
      </c>
      <c r="AL14" s="33">
        <f t="shared" si="3"/>
        <v>0</v>
      </c>
      <c r="AM14" s="34" t="e">
        <f t="shared" si="10"/>
        <v>#DIV/0!</v>
      </c>
      <c r="AN14" s="586">
        <f>SUM(N14+V14+AD14+AL14)</f>
        <v>4349318</v>
      </c>
      <c r="AO14" s="40"/>
      <c r="AP14" s="27"/>
      <c r="AQ14" s="28"/>
      <c r="AR14" s="28"/>
      <c r="AS14" s="28"/>
      <c r="AT14" s="28"/>
    </row>
    <row r="15" spans="2:46" s="10" customFormat="1" ht="18" customHeight="1" thickTop="1" thickBot="1">
      <c r="B15" s="1112"/>
      <c r="C15" s="1352" t="s">
        <v>38</v>
      </c>
      <c r="D15" s="1353" t="s">
        <v>39</v>
      </c>
      <c r="E15" s="1353" t="s">
        <v>39</v>
      </c>
      <c r="F15" s="1119"/>
      <c r="G15" s="41" t="s">
        <v>44</v>
      </c>
      <c r="H15" s="43">
        <v>0</v>
      </c>
      <c r="I15" s="24">
        <f t="shared" si="4"/>
        <v>0</v>
      </c>
      <c r="J15" s="43">
        <v>0</v>
      </c>
      <c r="K15" s="24">
        <f t="shared" si="5"/>
        <v>0</v>
      </c>
      <c r="L15" s="44">
        <v>0</v>
      </c>
      <c r="M15" s="656">
        <f t="shared" si="6"/>
        <v>0</v>
      </c>
      <c r="N15" s="45">
        <f t="shared" si="0"/>
        <v>0</v>
      </c>
      <c r="O15" s="34">
        <f t="shared" si="7"/>
        <v>0</v>
      </c>
      <c r="P15" s="44">
        <v>0</v>
      </c>
      <c r="Q15" s="24">
        <f>P15/$P$27</f>
        <v>0</v>
      </c>
      <c r="R15" s="44">
        <v>0</v>
      </c>
      <c r="S15" s="24">
        <f>R15/$R$27</f>
        <v>0</v>
      </c>
      <c r="T15" s="44"/>
      <c r="U15" s="656" t="e">
        <f>T15/$T$27</f>
        <v>#DIV/0!</v>
      </c>
      <c r="V15" s="33">
        <f t="shared" si="1"/>
        <v>0</v>
      </c>
      <c r="W15" s="34">
        <f t="shared" si="8"/>
        <v>0</v>
      </c>
      <c r="X15" s="44"/>
      <c r="Y15" s="24" t="e">
        <f>X15/X$27</f>
        <v>#DIV/0!</v>
      </c>
      <c r="Z15" s="44"/>
      <c r="AA15" s="24" t="e">
        <f>Z15/Z$27</f>
        <v>#DIV/0!</v>
      </c>
      <c r="AB15" s="44"/>
      <c r="AC15" s="656" t="e">
        <f>AB15/AB$27</f>
        <v>#DIV/0!</v>
      </c>
      <c r="AD15" s="45">
        <f t="shared" si="2"/>
        <v>0</v>
      </c>
      <c r="AE15" s="34" t="e">
        <f t="shared" si="9"/>
        <v>#DIV/0!</v>
      </c>
      <c r="AF15" s="44"/>
      <c r="AG15" s="24" t="e">
        <f>AF15/AF$27</f>
        <v>#DIV/0!</v>
      </c>
      <c r="AH15" s="44"/>
      <c r="AI15" s="24" t="e">
        <f>AH15/AH$27</f>
        <v>#DIV/0!</v>
      </c>
      <c r="AJ15" s="44"/>
      <c r="AK15" s="656" t="e">
        <f>AJ15/AJ$27</f>
        <v>#DIV/0!</v>
      </c>
      <c r="AL15" s="45">
        <f t="shared" si="3"/>
        <v>0</v>
      </c>
      <c r="AM15" s="34" t="e">
        <f t="shared" si="10"/>
        <v>#DIV/0!</v>
      </c>
      <c r="AN15" s="590">
        <f>SUM(N15+V15+AD15+AL15)</f>
        <v>0</v>
      </c>
      <c r="AO15" s="46"/>
      <c r="AP15" s="27"/>
      <c r="AQ15" s="28"/>
      <c r="AR15" s="28"/>
      <c r="AS15" s="28"/>
      <c r="AT15" s="28"/>
    </row>
    <row r="16" spans="2:46" s="10" customFormat="1" ht="18" customHeight="1" thickTop="1" thickBot="1">
      <c r="B16" s="1112"/>
      <c r="C16" s="1352" t="s">
        <v>38</v>
      </c>
      <c r="D16" s="1353" t="s">
        <v>39</v>
      </c>
      <c r="E16" s="1353" t="s">
        <v>39</v>
      </c>
      <c r="F16" s="1120"/>
      <c r="G16" s="47" t="s">
        <v>45</v>
      </c>
      <c r="H16" s="48">
        <f>SUM(H12:H15)</f>
        <v>36703523</v>
      </c>
      <c r="I16" s="53">
        <f t="shared" si="4"/>
        <v>0.43267683617408315</v>
      </c>
      <c r="J16" s="48">
        <f>SUM(J12:J15)</f>
        <v>31022361</v>
      </c>
      <c r="K16" s="53">
        <f t="shared" si="5"/>
        <v>0.42057019055845846</v>
      </c>
      <c r="L16" s="50">
        <f>SUM(L12:L15)</f>
        <v>36039578</v>
      </c>
      <c r="M16" s="659">
        <f t="shared" si="6"/>
        <v>0.35451097928145309</v>
      </c>
      <c r="N16" s="51">
        <f t="shared" si="0"/>
        <v>103765462</v>
      </c>
      <c r="O16" s="52">
        <f t="shared" si="7"/>
        <v>0.39871216999732162</v>
      </c>
      <c r="P16" s="50">
        <f>SUM(P12:P15)</f>
        <v>36646274</v>
      </c>
      <c r="Q16" s="53">
        <f>P16/$P$27</f>
        <v>0.35899812079417637</v>
      </c>
      <c r="R16" s="50">
        <f>SUM(R12:R15)</f>
        <v>33406563</v>
      </c>
      <c r="S16" s="53">
        <f>R16/$R$27</f>
        <v>0.36264861465592002</v>
      </c>
      <c r="T16" s="50">
        <f>SUM(T12:T15)</f>
        <v>0</v>
      </c>
      <c r="U16" s="659" t="e">
        <f>T16/$T$27</f>
        <v>#DIV/0!</v>
      </c>
      <c r="V16" s="51">
        <f t="shared" si="1"/>
        <v>70052837</v>
      </c>
      <c r="W16" s="694">
        <f t="shared" si="8"/>
        <v>0.36072974489762133</v>
      </c>
      <c r="X16" s="50">
        <f>SUM(X12:X15)</f>
        <v>0</v>
      </c>
      <c r="Y16" s="53" t="e">
        <f>X16/X27</f>
        <v>#DIV/0!</v>
      </c>
      <c r="Z16" s="50">
        <f>SUM(Z12:Z15)</f>
        <v>0</v>
      </c>
      <c r="AA16" s="53" t="e">
        <f>Z16/Z27</f>
        <v>#DIV/0!</v>
      </c>
      <c r="AB16" s="50">
        <f>SUM(AB12:AB15)</f>
        <v>0</v>
      </c>
      <c r="AC16" s="659" t="e">
        <f>AB16/AB27</f>
        <v>#DIV/0!</v>
      </c>
      <c r="AD16" s="51">
        <f t="shared" si="2"/>
        <v>0</v>
      </c>
      <c r="AE16" s="694" t="e">
        <f t="shared" si="9"/>
        <v>#DIV/0!</v>
      </c>
      <c r="AF16" s="50">
        <f>SUM(AF12:AF15)</f>
        <v>0</v>
      </c>
      <c r="AG16" s="53" t="e">
        <f>AF16/AF27</f>
        <v>#DIV/0!</v>
      </c>
      <c r="AH16" s="50">
        <f>SUM(AH12:AH15)</f>
        <v>0</v>
      </c>
      <c r="AI16" s="53" t="e">
        <f>AH16/AH27</f>
        <v>#DIV/0!</v>
      </c>
      <c r="AJ16" s="50">
        <f>SUM(AJ12:AJ15)</f>
        <v>0</v>
      </c>
      <c r="AK16" s="659" t="e">
        <f>AJ16/AJ27</f>
        <v>#DIV/0!</v>
      </c>
      <c r="AL16" s="51">
        <f t="shared" si="3"/>
        <v>0</v>
      </c>
      <c r="AM16" s="694" t="e">
        <f t="shared" si="10"/>
        <v>#DIV/0!</v>
      </c>
      <c r="AN16" s="49">
        <f>SUM(AN12:AN15)</f>
        <v>173818299</v>
      </c>
      <c r="AO16" s="54"/>
      <c r="AP16" s="27"/>
      <c r="AQ16" s="28"/>
      <c r="AR16" s="28"/>
      <c r="AS16" s="28"/>
      <c r="AT16" s="28"/>
    </row>
    <row r="17" spans="1:46" s="10" customFormat="1" ht="18" customHeight="1" thickTop="1" thickBot="1">
      <c r="B17" s="1112"/>
      <c r="C17" s="1352" t="s">
        <v>38</v>
      </c>
      <c r="D17" s="1353" t="s">
        <v>39</v>
      </c>
      <c r="E17" s="1353" t="s">
        <v>39</v>
      </c>
      <c r="F17" s="1116" t="s">
        <v>48</v>
      </c>
      <c r="G17" s="55" t="s">
        <v>49</v>
      </c>
      <c r="H17" s="56">
        <v>1500000</v>
      </c>
      <c r="I17" s="61">
        <f t="shared" si="4"/>
        <v>1.7682641915903408E-2</v>
      </c>
      <c r="J17" s="56">
        <v>1500000</v>
      </c>
      <c r="K17" s="61">
        <f t="shared" si="5"/>
        <v>2.0335502054072793E-2</v>
      </c>
      <c r="L17" s="58">
        <v>0</v>
      </c>
      <c r="M17" s="657">
        <f t="shared" si="6"/>
        <v>0</v>
      </c>
      <c r="N17" s="59">
        <f t="shared" si="0"/>
        <v>3000000</v>
      </c>
      <c r="O17" s="60">
        <f t="shared" ref="O17:O26" si="11">N17/N$27</f>
        <v>1.1527308672243611E-2</v>
      </c>
      <c r="P17" s="58">
        <v>0</v>
      </c>
      <c r="Q17" s="61">
        <f>P17/P$27</f>
        <v>0</v>
      </c>
      <c r="R17" s="58">
        <v>0</v>
      </c>
      <c r="S17" s="61">
        <f>R17/R$27</f>
        <v>0</v>
      </c>
      <c r="T17" s="58">
        <v>0</v>
      </c>
      <c r="U17" s="657" t="e">
        <f>T17/T$27</f>
        <v>#DIV/0!</v>
      </c>
      <c r="V17" s="59">
        <f t="shared" si="1"/>
        <v>0</v>
      </c>
      <c r="W17" s="34">
        <f t="shared" si="8"/>
        <v>0</v>
      </c>
      <c r="X17" s="58">
        <v>0</v>
      </c>
      <c r="Y17" s="61" t="e">
        <f>X17/X$27</f>
        <v>#DIV/0!</v>
      </c>
      <c r="Z17" s="58">
        <v>0</v>
      </c>
      <c r="AA17" s="61" t="e">
        <f>Z17/Z$27</f>
        <v>#DIV/0!</v>
      </c>
      <c r="AB17" s="58">
        <v>0</v>
      </c>
      <c r="AC17" s="657" t="e">
        <f>AB17/AB$27</f>
        <v>#DIV/0!</v>
      </c>
      <c r="AD17" s="59">
        <f t="shared" si="2"/>
        <v>0</v>
      </c>
      <c r="AE17" s="34" t="e">
        <f t="shared" si="9"/>
        <v>#DIV/0!</v>
      </c>
      <c r="AF17" s="58">
        <v>0</v>
      </c>
      <c r="AG17" s="61" t="e">
        <f>AF17/AF$27</f>
        <v>#DIV/0!</v>
      </c>
      <c r="AH17" s="58">
        <v>0</v>
      </c>
      <c r="AI17" s="61" t="e">
        <f>AH17/AH$27</f>
        <v>#DIV/0!</v>
      </c>
      <c r="AJ17" s="58">
        <v>0</v>
      </c>
      <c r="AK17" s="657" t="e">
        <f>AJ17/AJ$27</f>
        <v>#DIV/0!</v>
      </c>
      <c r="AL17" s="59">
        <f t="shared" si="3"/>
        <v>0</v>
      </c>
      <c r="AM17" s="34" t="e">
        <f t="shared" si="10"/>
        <v>#DIV/0!</v>
      </c>
      <c r="AN17" s="585">
        <f>SUM(N17+V17+AD17+AL17)</f>
        <v>3000000</v>
      </c>
      <c r="AO17" s="66"/>
      <c r="AP17" s="71"/>
      <c r="AQ17" s="71"/>
      <c r="AR17" s="411"/>
      <c r="AS17" s="28"/>
      <c r="AT17" s="28"/>
    </row>
    <row r="18" spans="1:46" s="10" customFormat="1" ht="18" customHeight="1" thickTop="1" thickBot="1">
      <c r="B18" s="1112"/>
      <c r="C18" s="1352" t="s">
        <v>38</v>
      </c>
      <c r="D18" s="1353" t="s">
        <v>39</v>
      </c>
      <c r="E18" s="1353" t="s">
        <v>39</v>
      </c>
      <c r="F18" s="1117"/>
      <c r="G18" s="55" t="s">
        <v>50</v>
      </c>
      <c r="H18" s="56">
        <v>880000</v>
      </c>
      <c r="I18" s="61">
        <f t="shared" si="4"/>
        <v>1.0373816590663332E-2</v>
      </c>
      <c r="J18" s="56">
        <v>880000</v>
      </c>
      <c r="K18" s="61">
        <f t="shared" si="5"/>
        <v>1.1930161205056038E-2</v>
      </c>
      <c r="L18" s="58">
        <v>0</v>
      </c>
      <c r="M18" s="657">
        <f t="shared" si="6"/>
        <v>0</v>
      </c>
      <c r="N18" s="59">
        <f t="shared" si="0"/>
        <v>1760000</v>
      </c>
      <c r="O18" s="60">
        <f t="shared" si="11"/>
        <v>6.7626877543829188E-3</v>
      </c>
      <c r="P18" s="58">
        <v>0</v>
      </c>
      <c r="Q18" s="61">
        <f>P18/P$27</f>
        <v>0</v>
      </c>
      <c r="R18" s="58">
        <v>0</v>
      </c>
      <c r="S18" s="61">
        <f>R18/R$27</f>
        <v>0</v>
      </c>
      <c r="T18" s="58">
        <v>0</v>
      </c>
      <c r="U18" s="657" t="e">
        <f>T18/T$27</f>
        <v>#DIV/0!</v>
      </c>
      <c r="V18" s="59">
        <f t="shared" si="1"/>
        <v>0</v>
      </c>
      <c r="W18" s="34">
        <f t="shared" si="8"/>
        <v>0</v>
      </c>
      <c r="X18" s="58">
        <v>0</v>
      </c>
      <c r="Y18" s="61" t="e">
        <f>X18/X$27</f>
        <v>#DIV/0!</v>
      </c>
      <c r="Z18" s="58">
        <v>0</v>
      </c>
      <c r="AA18" s="61" t="e">
        <f>Z18/Z$27</f>
        <v>#DIV/0!</v>
      </c>
      <c r="AB18" s="58">
        <v>0</v>
      </c>
      <c r="AC18" s="657" t="e">
        <f>AB18/AB$27</f>
        <v>#DIV/0!</v>
      </c>
      <c r="AD18" s="59">
        <f t="shared" si="2"/>
        <v>0</v>
      </c>
      <c r="AE18" s="34" t="e">
        <f t="shared" si="9"/>
        <v>#DIV/0!</v>
      </c>
      <c r="AF18" s="58">
        <v>0</v>
      </c>
      <c r="AG18" s="61" t="e">
        <f>AF18/AF$27</f>
        <v>#DIV/0!</v>
      </c>
      <c r="AH18" s="58">
        <v>0</v>
      </c>
      <c r="AI18" s="61" t="e">
        <f>AH18/AH$27</f>
        <v>#DIV/0!</v>
      </c>
      <c r="AJ18" s="58">
        <v>0</v>
      </c>
      <c r="AK18" s="657" t="e">
        <f>AJ18/AJ$27</f>
        <v>#DIV/0!</v>
      </c>
      <c r="AL18" s="59">
        <f t="shared" si="3"/>
        <v>0</v>
      </c>
      <c r="AM18" s="34" t="e">
        <f t="shared" si="10"/>
        <v>#DIV/0!</v>
      </c>
      <c r="AN18" s="585">
        <f>SUM(N18+V18+AD18+AL18)</f>
        <v>1760000</v>
      </c>
      <c r="AO18" s="66"/>
      <c r="AP18" s="71"/>
      <c r="AQ18" s="71"/>
      <c r="AR18" s="411"/>
      <c r="AS18" s="28"/>
      <c r="AT18" s="28"/>
    </row>
    <row r="19" spans="1:46" s="10" customFormat="1" ht="18" customHeight="1" thickTop="1" thickBot="1">
      <c r="B19" s="1112"/>
      <c r="C19" s="1352" t="s">
        <v>38</v>
      </c>
      <c r="D19" s="1353" t="s">
        <v>39</v>
      </c>
      <c r="E19" s="1353" t="s">
        <v>39</v>
      </c>
      <c r="F19" s="1117"/>
      <c r="G19" s="55" t="s">
        <v>51</v>
      </c>
      <c r="H19" s="56">
        <v>1745455</v>
      </c>
      <c r="I19" s="61">
        <f t="shared" si="4"/>
        <v>2.057617049688212E-2</v>
      </c>
      <c r="J19" s="56">
        <v>1745454.4</v>
      </c>
      <c r="K19" s="61">
        <f t="shared" si="5"/>
        <v>2.3663127690993595E-2</v>
      </c>
      <c r="L19" s="58">
        <v>0</v>
      </c>
      <c r="M19" s="657">
        <f t="shared" si="6"/>
        <v>0</v>
      </c>
      <c r="N19" s="59">
        <f t="shared" si="0"/>
        <v>3490909.4</v>
      </c>
      <c r="O19" s="60">
        <f t="shared" si="11"/>
        <v>1.341359673354558E-2</v>
      </c>
      <c r="P19" s="58">
        <v>0</v>
      </c>
      <c r="Q19" s="61">
        <f>P19/P$27</f>
        <v>0</v>
      </c>
      <c r="R19" s="58">
        <v>0</v>
      </c>
      <c r="S19" s="61">
        <f>R19/R$27</f>
        <v>0</v>
      </c>
      <c r="T19" s="58">
        <v>0</v>
      </c>
      <c r="U19" s="657" t="e">
        <f>T19/T$27</f>
        <v>#DIV/0!</v>
      </c>
      <c r="V19" s="59">
        <f t="shared" si="1"/>
        <v>0</v>
      </c>
      <c r="W19" s="34">
        <f t="shared" si="8"/>
        <v>0</v>
      </c>
      <c r="X19" s="58">
        <v>0</v>
      </c>
      <c r="Y19" s="61" t="e">
        <f>X19/X$27</f>
        <v>#DIV/0!</v>
      </c>
      <c r="Z19" s="58">
        <v>0</v>
      </c>
      <c r="AA19" s="61" t="e">
        <f>Z19/Z$27</f>
        <v>#DIV/0!</v>
      </c>
      <c r="AB19" s="58">
        <v>0</v>
      </c>
      <c r="AC19" s="657" t="e">
        <f>AB19/AB$27</f>
        <v>#DIV/0!</v>
      </c>
      <c r="AD19" s="59">
        <f t="shared" si="2"/>
        <v>0</v>
      </c>
      <c r="AE19" s="34" t="e">
        <f t="shared" si="9"/>
        <v>#DIV/0!</v>
      </c>
      <c r="AF19" s="58">
        <v>0</v>
      </c>
      <c r="AG19" s="61" t="e">
        <f>AF19/AF$27</f>
        <v>#DIV/0!</v>
      </c>
      <c r="AH19" s="58">
        <v>0</v>
      </c>
      <c r="AI19" s="61" t="e">
        <f>AH19/AH$27</f>
        <v>#DIV/0!</v>
      </c>
      <c r="AJ19" s="58">
        <v>0</v>
      </c>
      <c r="AK19" s="657" t="e">
        <f>AJ19/AJ$27</f>
        <v>#DIV/0!</v>
      </c>
      <c r="AL19" s="59">
        <f t="shared" si="3"/>
        <v>0</v>
      </c>
      <c r="AM19" s="34" t="e">
        <f t="shared" si="10"/>
        <v>#DIV/0!</v>
      </c>
      <c r="AN19" s="585">
        <f>SUM(N19+V19+AD19+AL19)</f>
        <v>3490909.4</v>
      </c>
      <c r="AO19" s="66"/>
      <c r="AP19" s="71"/>
      <c r="AQ19" s="71"/>
      <c r="AR19" s="411"/>
      <c r="AS19" s="28"/>
      <c r="AT19" s="28"/>
    </row>
    <row r="20" spans="1:46" s="10" customFormat="1" ht="18" customHeight="1" thickTop="1" thickBot="1">
      <c r="B20" s="1112"/>
      <c r="C20" s="1352" t="s">
        <v>38</v>
      </c>
      <c r="D20" s="1353" t="s">
        <v>39</v>
      </c>
      <c r="E20" s="1353" t="s">
        <v>39</v>
      </c>
      <c r="F20" s="1118"/>
      <c r="G20" s="435" t="s">
        <v>52</v>
      </c>
      <c r="H20" s="303">
        <f>SUM(H17:H19)</f>
        <v>4125455</v>
      </c>
      <c r="I20" s="297">
        <f t="shared" si="4"/>
        <v>4.8632629003448856E-2</v>
      </c>
      <c r="J20" s="303">
        <f>SUM(J17:J19)</f>
        <v>4125454.4</v>
      </c>
      <c r="K20" s="297">
        <f t="shared" si="5"/>
        <v>5.5928790950122424E-2</v>
      </c>
      <c r="L20" s="436">
        <f>SUM(L17:L19)</f>
        <v>0</v>
      </c>
      <c r="M20" s="658">
        <f t="shared" si="6"/>
        <v>0</v>
      </c>
      <c r="N20" s="437">
        <f t="shared" si="0"/>
        <v>8250909.4000000004</v>
      </c>
      <c r="O20" s="438">
        <f t="shared" si="11"/>
        <v>3.1703593160172114E-2</v>
      </c>
      <c r="P20" s="436">
        <f>SUM(P17:P19)</f>
        <v>0</v>
      </c>
      <c r="Q20" s="297">
        <f>P$20/P$27</f>
        <v>0</v>
      </c>
      <c r="R20" s="436">
        <f>SUM(R17:R19)</f>
        <v>0</v>
      </c>
      <c r="S20" s="297">
        <f>R$20/R$27</f>
        <v>0</v>
      </c>
      <c r="T20" s="436">
        <f>SUM(T17:T19)</f>
        <v>0</v>
      </c>
      <c r="U20" s="658" t="e">
        <f>T$20/T$27</f>
        <v>#DIV/0!</v>
      </c>
      <c r="V20" s="437">
        <f t="shared" si="1"/>
        <v>0</v>
      </c>
      <c r="W20" s="694"/>
      <c r="X20" s="436">
        <f>SUM(X17:X19)</f>
        <v>0</v>
      </c>
      <c r="Y20" s="297" t="e">
        <f>X$20/X$27</f>
        <v>#DIV/0!</v>
      </c>
      <c r="Z20" s="436">
        <f>SUM(Z17:Z19)</f>
        <v>0</v>
      </c>
      <c r="AA20" s="297" t="e">
        <f>Z$20/Z$27</f>
        <v>#DIV/0!</v>
      </c>
      <c r="AB20" s="436">
        <f>SUM(AB17:AB19)</f>
        <v>0</v>
      </c>
      <c r="AC20" s="658" t="e">
        <f>AB$20/AB$27</f>
        <v>#DIV/0!</v>
      </c>
      <c r="AD20" s="437">
        <f t="shared" si="2"/>
        <v>0</v>
      </c>
      <c r="AE20" s="694"/>
      <c r="AF20" s="436">
        <f>SUM(AF17:AF19)</f>
        <v>0</v>
      </c>
      <c r="AG20" s="297" t="e">
        <f>AF$20/AF$27</f>
        <v>#DIV/0!</v>
      </c>
      <c r="AH20" s="436">
        <f>SUM(AH17:AH19)</f>
        <v>0</v>
      </c>
      <c r="AI20" s="297" t="e">
        <f>AH$20/AH$27</f>
        <v>#DIV/0!</v>
      </c>
      <c r="AJ20" s="436">
        <f>SUM(AJ17:AJ19)</f>
        <v>0</v>
      </c>
      <c r="AK20" s="658" t="e">
        <f>AJ$20/AJ$27</f>
        <v>#DIV/0!</v>
      </c>
      <c r="AL20" s="437">
        <f t="shared" si="3"/>
        <v>0</v>
      </c>
      <c r="AM20" s="694"/>
      <c r="AN20" s="295">
        <f>SUM(AN17:AN19)</f>
        <v>8250909.4000000004</v>
      </c>
      <c r="AO20" s="439"/>
      <c r="AP20" s="71"/>
      <c r="AQ20" s="71"/>
      <c r="AR20" s="411"/>
      <c r="AS20" s="28"/>
      <c r="AT20" s="28"/>
    </row>
    <row r="21" spans="1:46" s="10" customFormat="1" ht="18" customHeight="1" thickTop="1" thickBot="1">
      <c r="B21" s="1112"/>
      <c r="C21" s="1352" t="s">
        <v>38</v>
      </c>
      <c r="D21" s="1353" t="s">
        <v>39</v>
      </c>
      <c r="E21" s="1353" t="s">
        <v>39</v>
      </c>
      <c r="F21" s="1116" t="s">
        <v>476</v>
      </c>
      <c r="G21" s="55" t="s">
        <v>41</v>
      </c>
      <c r="H21" s="56">
        <v>11884151</v>
      </c>
      <c r="I21" s="61">
        <f t="shared" si="4"/>
        <v>0.14009545773835025</v>
      </c>
      <c r="J21" s="56">
        <v>10213913</v>
      </c>
      <c r="K21" s="61">
        <f t="shared" si="5"/>
        <v>0.1384700325277472</v>
      </c>
      <c r="L21" s="58">
        <v>11649696</v>
      </c>
      <c r="M21" s="657">
        <f t="shared" si="6"/>
        <v>0.11459471410267975</v>
      </c>
      <c r="N21" s="59">
        <f t="shared" si="0"/>
        <v>33747760</v>
      </c>
      <c r="O21" s="60">
        <f t="shared" si="11"/>
        <v>0.12967361550559869</v>
      </c>
      <c r="P21" s="58">
        <v>11331338</v>
      </c>
      <c r="Q21" s="61">
        <f>P21/P$27</f>
        <v>0.11100525658034541</v>
      </c>
      <c r="R21" s="58">
        <v>9893187</v>
      </c>
      <c r="S21" s="61">
        <f>R21/R$27</f>
        <v>0.10739657833348368</v>
      </c>
      <c r="T21" s="58"/>
      <c r="U21" s="657" t="e">
        <f>T21/T$27</f>
        <v>#DIV/0!</v>
      </c>
      <c r="V21" s="59">
        <f t="shared" si="1"/>
        <v>21224525</v>
      </c>
      <c r="W21" s="60">
        <f>V21/V$27</f>
        <v>0.10929346785517317</v>
      </c>
      <c r="X21" s="58"/>
      <c r="Y21" s="61" t="e">
        <f>X21/X$27</f>
        <v>#DIV/0!</v>
      </c>
      <c r="Z21" s="58"/>
      <c r="AA21" s="61" t="e">
        <f>Z21/Z$27</f>
        <v>#DIV/0!</v>
      </c>
      <c r="AB21" s="58"/>
      <c r="AC21" s="657" t="e">
        <f>AB21/AB$27</f>
        <v>#DIV/0!</v>
      </c>
      <c r="AD21" s="59">
        <f t="shared" si="2"/>
        <v>0</v>
      </c>
      <c r="AE21" s="60" t="e">
        <f>AD21/AD$27</f>
        <v>#DIV/0!</v>
      </c>
      <c r="AF21" s="58"/>
      <c r="AG21" s="61" t="e">
        <f>AF21/AF$27</f>
        <v>#DIV/0!</v>
      </c>
      <c r="AH21" s="58"/>
      <c r="AI21" s="61" t="e">
        <f>AH21/AH$27</f>
        <v>#DIV/0!</v>
      </c>
      <c r="AJ21" s="58"/>
      <c r="AK21" s="657" t="e">
        <f>AJ21/AJ$27</f>
        <v>#DIV/0!</v>
      </c>
      <c r="AL21" s="59">
        <f t="shared" si="3"/>
        <v>0</v>
      </c>
      <c r="AM21" s="60" t="e">
        <f>AL21/AL$27</f>
        <v>#DIV/0!</v>
      </c>
      <c r="AN21" s="585">
        <f>SUM(N21+V21+AD21+AL21)</f>
        <v>54972285</v>
      </c>
      <c r="AO21" s="66"/>
      <c r="AP21" s="71"/>
      <c r="AQ21" s="71"/>
      <c r="AR21" s="411"/>
      <c r="AS21" s="28"/>
      <c r="AT21" s="28"/>
    </row>
    <row r="22" spans="1:46" s="440" customFormat="1" ht="18" customHeight="1" thickTop="1" thickBot="1">
      <c r="A22" s="10"/>
      <c r="B22" s="1112"/>
      <c r="C22" s="1352" t="s">
        <v>38</v>
      </c>
      <c r="D22" s="1353" t="s">
        <v>39</v>
      </c>
      <c r="E22" s="1353" t="s">
        <v>39</v>
      </c>
      <c r="F22" s="1118"/>
      <c r="G22" s="435" t="s">
        <v>477</v>
      </c>
      <c r="H22" s="303">
        <f>SUM(H21)</f>
        <v>11884151</v>
      </c>
      <c r="I22" s="297">
        <f t="shared" si="4"/>
        <v>0.14009545773835025</v>
      </c>
      <c r="J22" s="303">
        <f>SUM(J21)</f>
        <v>10213913</v>
      </c>
      <c r="K22" s="297">
        <f t="shared" si="5"/>
        <v>0.1384700325277472</v>
      </c>
      <c r="L22" s="436">
        <f>SUM(L21)</f>
        <v>11649696</v>
      </c>
      <c r="M22" s="658">
        <f t="shared" si="6"/>
        <v>0.11459471410267975</v>
      </c>
      <c r="N22" s="437">
        <f t="shared" si="0"/>
        <v>33747760</v>
      </c>
      <c r="O22" s="438">
        <f t="shared" si="11"/>
        <v>0.12967361550559869</v>
      </c>
      <c r="P22" s="436">
        <f>SUM(P21)</f>
        <v>11331338</v>
      </c>
      <c r="Q22" s="297">
        <f>P$20/P$27</f>
        <v>0</v>
      </c>
      <c r="R22" s="436">
        <f>SUM(R21)</f>
        <v>9893187</v>
      </c>
      <c r="S22" s="297">
        <f>R$20/R$27</f>
        <v>0</v>
      </c>
      <c r="T22" s="436">
        <f>SUM(T21)</f>
        <v>0</v>
      </c>
      <c r="U22" s="658" t="e">
        <f>T$20/T$27</f>
        <v>#DIV/0!</v>
      </c>
      <c r="V22" s="437">
        <f t="shared" si="1"/>
        <v>21224525</v>
      </c>
      <c r="W22" s="694"/>
      <c r="X22" s="436">
        <f>SUM(X21)</f>
        <v>0</v>
      </c>
      <c r="Y22" s="297" t="e">
        <f>X$20/X$27</f>
        <v>#DIV/0!</v>
      </c>
      <c r="Z22" s="436">
        <f>SUM(Z21)</f>
        <v>0</v>
      </c>
      <c r="AA22" s="297" t="e">
        <f>Z$20/Z$27</f>
        <v>#DIV/0!</v>
      </c>
      <c r="AB22" s="436">
        <f>SUM(AB21)</f>
        <v>0</v>
      </c>
      <c r="AC22" s="658" t="e">
        <f>AB$20/AB$27</f>
        <v>#DIV/0!</v>
      </c>
      <c r="AD22" s="437">
        <f t="shared" si="2"/>
        <v>0</v>
      </c>
      <c r="AE22" s="694"/>
      <c r="AF22" s="436">
        <f>SUM(AF21)</f>
        <v>0</v>
      </c>
      <c r="AG22" s="297" t="e">
        <f>AF$20/AF$27</f>
        <v>#DIV/0!</v>
      </c>
      <c r="AH22" s="436">
        <f>SUM(AH21)</f>
        <v>0</v>
      </c>
      <c r="AI22" s="297" t="e">
        <f>AH$20/AH$27</f>
        <v>#DIV/0!</v>
      </c>
      <c r="AJ22" s="436">
        <f>SUM(AJ21)</f>
        <v>0</v>
      </c>
      <c r="AK22" s="658" t="e">
        <f>AJ$20/AJ$27</f>
        <v>#DIV/0!</v>
      </c>
      <c r="AL22" s="437">
        <f t="shared" si="3"/>
        <v>0</v>
      </c>
      <c r="AM22" s="694"/>
      <c r="AN22" s="295">
        <f>SUM(AN21)</f>
        <v>54972285</v>
      </c>
      <c r="AO22" s="439"/>
      <c r="AP22" s="441"/>
      <c r="AQ22" s="441"/>
      <c r="AR22" s="442"/>
      <c r="AS22" s="443"/>
      <c r="AT22" s="443"/>
    </row>
    <row r="23" spans="1:46" s="10" customFormat="1" ht="18" customHeight="1" thickTop="1" thickBot="1">
      <c r="B23" s="1112"/>
      <c r="C23" s="1352" t="s">
        <v>38</v>
      </c>
      <c r="D23" s="1353" t="s">
        <v>39</v>
      </c>
      <c r="E23" s="1353" t="s">
        <v>39</v>
      </c>
      <c r="F23" s="1116" t="s">
        <v>480</v>
      </c>
      <c r="G23" s="55" t="s">
        <v>482</v>
      </c>
      <c r="H23" s="56">
        <v>0</v>
      </c>
      <c r="I23" s="61">
        <f t="shared" si="4"/>
        <v>0</v>
      </c>
      <c r="J23" s="56">
        <v>490909</v>
      </c>
      <c r="K23" s="61">
        <f t="shared" si="5"/>
        <v>6.6552539852418801E-3</v>
      </c>
      <c r="L23" s="58">
        <f>4818182+490909</f>
        <v>5309091</v>
      </c>
      <c r="M23" s="657">
        <f t="shared" si="6"/>
        <v>5.2224003552548512E-2</v>
      </c>
      <c r="N23" s="59">
        <f t="shared" si="0"/>
        <v>5800000</v>
      </c>
      <c r="O23" s="60">
        <f t="shared" si="11"/>
        <v>2.2286130099670981E-2</v>
      </c>
      <c r="P23" s="58">
        <v>4818182</v>
      </c>
      <c r="Q23" s="61">
        <f>P23/P$27</f>
        <v>4.7200386146878839E-2</v>
      </c>
      <c r="R23" s="58">
        <v>4818182</v>
      </c>
      <c r="S23" s="61">
        <f>R23/R$27</f>
        <v>5.2304304021341258E-2</v>
      </c>
      <c r="T23" s="58"/>
      <c r="U23" s="657" t="e">
        <f>T23/T$27</f>
        <v>#DIV/0!</v>
      </c>
      <c r="V23" s="59">
        <f t="shared" si="1"/>
        <v>9636364</v>
      </c>
      <c r="W23" s="60">
        <f>V23/V$27</f>
        <v>4.9621446843910427E-2</v>
      </c>
      <c r="X23" s="58"/>
      <c r="Y23" s="61" t="e">
        <f>X23/X$27</f>
        <v>#DIV/0!</v>
      </c>
      <c r="Z23" s="58"/>
      <c r="AA23" s="61" t="e">
        <f>Z23/Z$27</f>
        <v>#DIV/0!</v>
      </c>
      <c r="AB23" s="58"/>
      <c r="AC23" s="657" t="e">
        <f>AB23/AB$27</f>
        <v>#DIV/0!</v>
      </c>
      <c r="AD23" s="59">
        <f t="shared" si="2"/>
        <v>0</v>
      </c>
      <c r="AE23" s="60" t="e">
        <f>AD23/AD$27</f>
        <v>#DIV/0!</v>
      </c>
      <c r="AF23" s="58"/>
      <c r="AG23" s="61" t="e">
        <f>AF23/AF$27</f>
        <v>#DIV/0!</v>
      </c>
      <c r="AH23" s="58"/>
      <c r="AI23" s="61" t="e">
        <f>AH23/AH$27</f>
        <v>#DIV/0!</v>
      </c>
      <c r="AJ23" s="58"/>
      <c r="AK23" s="657" t="e">
        <f>AJ23/AJ$27</f>
        <v>#DIV/0!</v>
      </c>
      <c r="AL23" s="59">
        <f t="shared" si="3"/>
        <v>0</v>
      </c>
      <c r="AM23" s="60" t="e">
        <f>AL23/AL$27</f>
        <v>#DIV/0!</v>
      </c>
      <c r="AN23" s="585">
        <f>SUM(N23+V23+AD23+AL23)</f>
        <v>15436364</v>
      </c>
      <c r="AO23" s="66"/>
      <c r="AP23" s="71"/>
      <c r="AQ23" s="71"/>
      <c r="AR23" s="411"/>
      <c r="AS23" s="28"/>
      <c r="AT23" s="28"/>
    </row>
    <row r="24" spans="1:46" s="10" customFormat="1" ht="18" customHeight="1" thickTop="1" thickBot="1">
      <c r="B24" s="1112"/>
      <c r="C24" s="1352" t="s">
        <v>38</v>
      </c>
      <c r="D24" s="1353" t="s">
        <v>39</v>
      </c>
      <c r="E24" s="1353" t="s">
        <v>39</v>
      </c>
      <c r="F24" s="1118"/>
      <c r="G24" s="435" t="s">
        <v>481</v>
      </c>
      <c r="H24" s="303">
        <f>SUM(H23)</f>
        <v>0</v>
      </c>
      <c r="I24" s="297">
        <f t="shared" si="4"/>
        <v>0</v>
      </c>
      <c r="J24" s="303">
        <f>SUM(J23)</f>
        <v>490909</v>
      </c>
      <c r="K24" s="297">
        <f t="shared" si="5"/>
        <v>6.6552539852418801E-3</v>
      </c>
      <c r="L24" s="436">
        <f>SUM(L23)</f>
        <v>5309091</v>
      </c>
      <c r="M24" s="658">
        <f t="shared" si="6"/>
        <v>5.2224003552548512E-2</v>
      </c>
      <c r="N24" s="437">
        <f t="shared" si="0"/>
        <v>5800000</v>
      </c>
      <c r="O24" s="438">
        <f t="shared" si="11"/>
        <v>2.2286130099670981E-2</v>
      </c>
      <c r="P24" s="436">
        <f>SUM(P23)</f>
        <v>4818182</v>
      </c>
      <c r="Q24" s="297">
        <f>P$20/P$27</f>
        <v>0</v>
      </c>
      <c r="R24" s="436">
        <f>SUM(R23)</f>
        <v>4818182</v>
      </c>
      <c r="S24" s="297">
        <f>R$20/R$27</f>
        <v>0</v>
      </c>
      <c r="T24" s="436">
        <f>SUM(T23)</f>
        <v>0</v>
      </c>
      <c r="U24" s="658" t="e">
        <f>T$20/T$27</f>
        <v>#DIV/0!</v>
      </c>
      <c r="V24" s="437">
        <f t="shared" si="1"/>
        <v>9636364</v>
      </c>
      <c r="W24" s="694"/>
      <c r="X24" s="436">
        <f>SUM(X23)</f>
        <v>0</v>
      </c>
      <c r="Y24" s="297" t="e">
        <f>X$20/X$27</f>
        <v>#DIV/0!</v>
      </c>
      <c r="Z24" s="436">
        <f>SUM(Z23)</f>
        <v>0</v>
      </c>
      <c r="AA24" s="297" t="e">
        <f>Z$20/Z$27</f>
        <v>#DIV/0!</v>
      </c>
      <c r="AB24" s="436">
        <f>SUM(AB23)</f>
        <v>0</v>
      </c>
      <c r="AC24" s="658" t="e">
        <f>AB$20/AB$27</f>
        <v>#DIV/0!</v>
      </c>
      <c r="AD24" s="437">
        <f t="shared" si="2"/>
        <v>0</v>
      </c>
      <c r="AE24" s="694"/>
      <c r="AF24" s="436">
        <f>SUM(AF23)</f>
        <v>0</v>
      </c>
      <c r="AG24" s="297" t="e">
        <f>AF$20/AF$27</f>
        <v>#DIV/0!</v>
      </c>
      <c r="AH24" s="436">
        <f>SUM(AH23)</f>
        <v>0</v>
      </c>
      <c r="AI24" s="297" t="e">
        <f>AH$20/AH$27</f>
        <v>#DIV/0!</v>
      </c>
      <c r="AJ24" s="436">
        <f>SUM(AJ23)</f>
        <v>0</v>
      </c>
      <c r="AK24" s="658" t="e">
        <f>AJ$20/AJ$27</f>
        <v>#DIV/0!</v>
      </c>
      <c r="AL24" s="437">
        <f t="shared" si="3"/>
        <v>0</v>
      </c>
      <c r="AM24" s="694"/>
      <c r="AN24" s="295">
        <f>SUM(AN23)</f>
        <v>15436364</v>
      </c>
      <c r="AO24" s="439"/>
      <c r="AP24" s="71"/>
      <c r="AQ24" s="71"/>
      <c r="AR24" s="411"/>
      <c r="AS24" s="28"/>
      <c r="AT24" s="28"/>
    </row>
    <row r="25" spans="1:46" s="10" customFormat="1" ht="18" customHeight="1" thickTop="1" thickBot="1">
      <c r="B25" s="1112"/>
      <c r="C25" s="1352" t="s">
        <v>38</v>
      </c>
      <c r="D25" s="1353" t="s">
        <v>39</v>
      </c>
      <c r="E25" s="1353" t="s">
        <v>39</v>
      </c>
      <c r="F25" s="1117" t="s">
        <v>478</v>
      </c>
      <c r="G25" s="55" t="s">
        <v>482</v>
      </c>
      <c r="H25" s="56">
        <v>0</v>
      </c>
      <c r="I25" s="61">
        <f t="shared" si="4"/>
        <v>0</v>
      </c>
      <c r="J25" s="56">
        <v>0</v>
      </c>
      <c r="K25" s="61">
        <f t="shared" si="5"/>
        <v>0</v>
      </c>
      <c r="L25" s="58">
        <v>17793409</v>
      </c>
      <c r="M25" s="657">
        <f t="shared" si="6"/>
        <v>0.17502865459039008</v>
      </c>
      <c r="N25" s="59">
        <f t="shared" si="0"/>
        <v>17793409</v>
      </c>
      <c r="O25" s="60">
        <f t="shared" si="11"/>
        <v>6.8370039291492504E-2</v>
      </c>
      <c r="P25" s="58">
        <v>17757570</v>
      </c>
      <c r="Q25" s="61">
        <f>P25/P$27</f>
        <v>0.17395859289462939</v>
      </c>
      <c r="R25" s="58">
        <v>16798353</v>
      </c>
      <c r="S25" s="61">
        <f>R25/R$27</f>
        <v>0.18235636644066372</v>
      </c>
      <c r="T25" s="58"/>
      <c r="U25" s="657" t="e">
        <f>T25/T$27</f>
        <v>#DIV/0!</v>
      </c>
      <c r="V25" s="59">
        <f t="shared" si="1"/>
        <v>34555923</v>
      </c>
      <c r="W25" s="60">
        <f>V25/V$27</f>
        <v>0.17794210516401848</v>
      </c>
      <c r="X25" s="58"/>
      <c r="Y25" s="61" t="e">
        <f>X25/X$27</f>
        <v>#DIV/0!</v>
      </c>
      <c r="Z25" s="58"/>
      <c r="AA25" s="61" t="e">
        <f>Z25/Z$27</f>
        <v>#DIV/0!</v>
      </c>
      <c r="AB25" s="58"/>
      <c r="AC25" s="657" t="e">
        <f>AB25/AB$27</f>
        <v>#DIV/0!</v>
      </c>
      <c r="AD25" s="59">
        <f t="shared" si="2"/>
        <v>0</v>
      </c>
      <c r="AE25" s="60" t="e">
        <f>AD25/AD$27</f>
        <v>#DIV/0!</v>
      </c>
      <c r="AF25" s="58"/>
      <c r="AG25" s="61" t="e">
        <f>AF25/AF$27</f>
        <v>#DIV/0!</v>
      </c>
      <c r="AH25" s="58"/>
      <c r="AI25" s="61" t="e">
        <f>AH25/AH$27</f>
        <v>#DIV/0!</v>
      </c>
      <c r="AJ25" s="58"/>
      <c r="AK25" s="657" t="e">
        <f>AJ25/AJ$27</f>
        <v>#DIV/0!</v>
      </c>
      <c r="AL25" s="59">
        <f t="shared" si="3"/>
        <v>0</v>
      </c>
      <c r="AM25" s="60" t="e">
        <f>AL25/AL$27</f>
        <v>#DIV/0!</v>
      </c>
      <c r="AN25" s="585">
        <f>SUM(N25+V25+AD25+AL25)</f>
        <v>52349332</v>
      </c>
      <c r="AO25" s="66"/>
      <c r="AP25" s="71"/>
      <c r="AQ25" s="71"/>
      <c r="AR25" s="411"/>
      <c r="AS25" s="28"/>
      <c r="AT25" s="28"/>
    </row>
    <row r="26" spans="1:46" s="440" customFormat="1" ht="18" customHeight="1" thickTop="1" thickBot="1">
      <c r="A26" s="10"/>
      <c r="B26" s="1104"/>
      <c r="C26" s="1352" t="s">
        <v>38</v>
      </c>
      <c r="D26" s="1353" t="s">
        <v>39</v>
      </c>
      <c r="E26" s="1353" t="s">
        <v>39</v>
      </c>
      <c r="F26" s="1118"/>
      <c r="G26" s="435" t="s">
        <v>479</v>
      </c>
      <c r="H26" s="303">
        <f>SUM(H25)</f>
        <v>0</v>
      </c>
      <c r="I26" s="297">
        <f t="shared" si="4"/>
        <v>0</v>
      </c>
      <c r="J26" s="303">
        <f>SUM(J25)</f>
        <v>0</v>
      </c>
      <c r="K26" s="297">
        <f t="shared" si="5"/>
        <v>0</v>
      </c>
      <c r="L26" s="436">
        <f>SUM(L25)</f>
        <v>17793409</v>
      </c>
      <c r="M26" s="658">
        <f t="shared" si="6"/>
        <v>0.17502865459039008</v>
      </c>
      <c r="N26" s="437">
        <f t="shared" si="0"/>
        <v>17793409</v>
      </c>
      <c r="O26" s="438">
        <f t="shared" si="11"/>
        <v>6.8370039291492504E-2</v>
      </c>
      <c r="P26" s="436">
        <f>SUM(P25)</f>
        <v>17757570</v>
      </c>
      <c r="Q26" s="297">
        <f>P$20/P$27</f>
        <v>0</v>
      </c>
      <c r="R26" s="436">
        <f>SUM(R25)</f>
        <v>16798353</v>
      </c>
      <c r="S26" s="297">
        <f>R$20/R$27</f>
        <v>0</v>
      </c>
      <c r="T26" s="436">
        <f>SUM(T25)</f>
        <v>0</v>
      </c>
      <c r="U26" s="658" t="e">
        <f>T$20/T$27</f>
        <v>#DIV/0!</v>
      </c>
      <c r="V26" s="437">
        <f t="shared" si="1"/>
        <v>34555923</v>
      </c>
      <c r="W26" s="694"/>
      <c r="X26" s="436">
        <f>SUM(X25)</f>
        <v>0</v>
      </c>
      <c r="Y26" s="297" t="e">
        <f>X$20/X$27</f>
        <v>#DIV/0!</v>
      </c>
      <c r="Z26" s="436">
        <f>SUM(Z25)</f>
        <v>0</v>
      </c>
      <c r="AA26" s="297" t="e">
        <f>Z$20/Z$27</f>
        <v>#DIV/0!</v>
      </c>
      <c r="AB26" s="436">
        <f>SUM(AB25)</f>
        <v>0</v>
      </c>
      <c r="AC26" s="658" t="e">
        <f>AB$20/AB$27</f>
        <v>#DIV/0!</v>
      </c>
      <c r="AD26" s="437">
        <f t="shared" si="2"/>
        <v>0</v>
      </c>
      <c r="AE26" s="694"/>
      <c r="AF26" s="436">
        <f>SUM(AF25)</f>
        <v>0</v>
      </c>
      <c r="AG26" s="297" t="e">
        <f>AF$20/AF$27</f>
        <v>#DIV/0!</v>
      </c>
      <c r="AH26" s="436">
        <f>SUM(AH25)</f>
        <v>0</v>
      </c>
      <c r="AI26" s="297" t="e">
        <f>AH$20/AH$27</f>
        <v>#DIV/0!</v>
      </c>
      <c r="AJ26" s="436">
        <f>SUM(AJ25)</f>
        <v>0</v>
      </c>
      <c r="AK26" s="658" t="e">
        <f>AJ$20/AJ$27</f>
        <v>#DIV/0!</v>
      </c>
      <c r="AL26" s="437">
        <f t="shared" si="3"/>
        <v>0</v>
      </c>
      <c r="AM26" s="694"/>
      <c r="AN26" s="295">
        <f>SUM(AN25)</f>
        <v>52349332</v>
      </c>
      <c r="AO26" s="439"/>
      <c r="AP26" s="441"/>
      <c r="AQ26" s="441"/>
      <c r="AR26" s="442"/>
      <c r="AS26" s="443"/>
      <c r="AT26" s="443"/>
    </row>
    <row r="27" spans="1:46" s="10" customFormat="1" ht="21.75" customHeight="1" thickBot="1">
      <c r="B27" s="1124" t="s">
        <v>53</v>
      </c>
      <c r="C27" s="1125"/>
      <c r="D27" s="1125"/>
      <c r="E27" s="1125"/>
      <c r="F27" s="1125"/>
      <c r="G27" s="1126"/>
      <c r="H27" s="72">
        <f>H16+H11+H20+H22+H24+H26</f>
        <v>84828953</v>
      </c>
      <c r="I27" s="76">
        <f t="shared" ref="I27:AN27" si="12">I16+I11+I20+I22+I24+I26</f>
        <v>1</v>
      </c>
      <c r="J27" s="72">
        <f>J16+J11+J20+J22+J24+J26</f>
        <v>73762624.400000006</v>
      </c>
      <c r="K27" s="76">
        <f t="shared" si="12"/>
        <v>0.99999999999999989</v>
      </c>
      <c r="L27" s="73">
        <f t="shared" si="12"/>
        <v>101659977</v>
      </c>
      <c r="M27" s="660">
        <f t="shared" si="12"/>
        <v>1</v>
      </c>
      <c r="N27" s="74">
        <f t="shared" si="0"/>
        <v>260251554.40000001</v>
      </c>
      <c r="O27" s="75">
        <f t="shared" si="12"/>
        <v>0.99999999999999989</v>
      </c>
      <c r="P27" s="73">
        <f t="shared" si="12"/>
        <v>102079292</v>
      </c>
      <c r="Q27" s="76">
        <f t="shared" si="12"/>
        <v>0.66783576437814629</v>
      </c>
      <c r="R27" s="73">
        <f t="shared" si="12"/>
        <v>92118270</v>
      </c>
      <c r="S27" s="76">
        <f t="shared" si="12"/>
        <v>0.65794275120451129</v>
      </c>
      <c r="T27" s="73">
        <f t="shared" si="12"/>
        <v>0</v>
      </c>
      <c r="U27" s="660" t="e">
        <f t="shared" si="12"/>
        <v>#DIV/0!</v>
      </c>
      <c r="V27" s="74">
        <f t="shared" si="1"/>
        <v>194197562</v>
      </c>
      <c r="W27" s="695">
        <f t="shared" si="12"/>
        <v>0.66314298013689799</v>
      </c>
      <c r="X27" s="73">
        <f t="shared" si="12"/>
        <v>0</v>
      </c>
      <c r="Y27" s="76" t="e">
        <f t="shared" si="12"/>
        <v>#DIV/0!</v>
      </c>
      <c r="Z27" s="73">
        <f t="shared" si="12"/>
        <v>0</v>
      </c>
      <c r="AA27" s="76" t="e">
        <f t="shared" si="12"/>
        <v>#DIV/0!</v>
      </c>
      <c r="AB27" s="73">
        <f t="shared" si="12"/>
        <v>0</v>
      </c>
      <c r="AC27" s="660" t="e">
        <f t="shared" si="12"/>
        <v>#DIV/0!</v>
      </c>
      <c r="AD27" s="74">
        <f t="shared" si="2"/>
        <v>0</v>
      </c>
      <c r="AE27" s="699" t="e">
        <f t="shared" si="12"/>
        <v>#DIV/0!</v>
      </c>
      <c r="AF27" s="73">
        <f t="shared" si="12"/>
        <v>0</v>
      </c>
      <c r="AG27" s="76" t="e">
        <f t="shared" si="12"/>
        <v>#DIV/0!</v>
      </c>
      <c r="AH27" s="73">
        <f t="shared" si="12"/>
        <v>0</v>
      </c>
      <c r="AI27" s="76" t="e">
        <f t="shared" si="12"/>
        <v>#DIV/0!</v>
      </c>
      <c r="AJ27" s="73">
        <f t="shared" si="12"/>
        <v>0</v>
      </c>
      <c r="AK27" s="660" t="e">
        <f t="shared" si="12"/>
        <v>#DIV/0!</v>
      </c>
      <c r="AL27" s="74">
        <f t="shared" si="3"/>
        <v>0</v>
      </c>
      <c r="AM27" s="699" t="e">
        <f t="shared" si="12"/>
        <v>#DIV/0!</v>
      </c>
      <c r="AN27" s="74">
        <f t="shared" si="12"/>
        <v>454449116.39999998</v>
      </c>
      <c r="AO27" s="77"/>
      <c r="AP27" s="71"/>
      <c r="AQ27" s="71"/>
      <c r="AR27" s="411"/>
      <c r="AS27" s="28"/>
    </row>
    <row r="28" spans="1:46" s="10" customFormat="1" ht="18" customHeight="1" thickBot="1">
      <c r="B28" s="86"/>
      <c r="C28" s="781" t="s">
        <v>59</v>
      </c>
      <c r="D28" s="778" t="s">
        <v>60</v>
      </c>
      <c r="E28" s="87" t="s">
        <v>61</v>
      </c>
      <c r="F28" s="87" t="s">
        <v>62</v>
      </c>
      <c r="G28" s="88" t="s">
        <v>63</v>
      </c>
      <c r="H28" s="95">
        <v>4166660</v>
      </c>
      <c r="I28" s="405"/>
      <c r="J28" s="95">
        <v>4166660</v>
      </c>
      <c r="K28" s="405"/>
      <c r="L28" s="95">
        <v>4166660</v>
      </c>
      <c r="M28" s="662"/>
      <c r="N28" s="406">
        <f t="shared" ref="N28:N49" si="13">SUM(H28,J28,L28)</f>
        <v>12499980</v>
      </c>
      <c r="O28" s="407"/>
      <c r="P28" s="95">
        <v>3333330</v>
      </c>
      <c r="Q28" s="405"/>
      <c r="R28" s="95">
        <v>0</v>
      </c>
      <c r="S28" s="405"/>
      <c r="T28" s="95"/>
      <c r="U28" s="662"/>
      <c r="V28" s="406">
        <f t="shared" ref="V28:V49" si="14">SUM(P28,R28,T28)</f>
        <v>3333330</v>
      </c>
      <c r="W28" s="407"/>
      <c r="X28" s="95"/>
      <c r="Y28" s="405"/>
      <c r="Z28" s="95"/>
      <c r="AA28" s="405"/>
      <c r="AB28" s="95"/>
      <c r="AC28" s="662"/>
      <c r="AD28" s="406">
        <f t="shared" ref="AD28:AD51" si="15">SUM(X28,Z28,AB28)</f>
        <v>0</v>
      </c>
      <c r="AE28" s="407"/>
      <c r="AF28" s="95"/>
      <c r="AG28" s="405"/>
      <c r="AH28" s="95"/>
      <c r="AI28" s="405"/>
      <c r="AJ28" s="95"/>
      <c r="AK28" s="662"/>
      <c r="AL28" s="702">
        <f t="shared" ref="AL28:AL51" si="16">SUM(AF28,AH28,AJ28)</f>
        <v>0</v>
      </c>
      <c r="AM28" s="407"/>
      <c r="AN28" s="589">
        <f t="shared" ref="AN28:AN49" si="17">SUM(AD28,V28,N28,AL28)</f>
        <v>15833310</v>
      </c>
      <c r="AO28" s="40"/>
      <c r="AP28" s="27"/>
      <c r="AQ28" s="28"/>
      <c r="AR28" s="28"/>
      <c r="AS28" s="28"/>
    </row>
    <row r="29" spans="1:46" s="10" customFormat="1" ht="18" customHeight="1" thickBot="1">
      <c r="B29" s="86"/>
      <c r="C29" s="781" t="s">
        <v>59</v>
      </c>
      <c r="D29" s="778" t="s">
        <v>60</v>
      </c>
      <c r="E29" s="87" t="s">
        <v>61</v>
      </c>
      <c r="F29" s="87" t="s">
        <v>66</v>
      </c>
      <c r="G29" s="88" t="s">
        <v>67</v>
      </c>
      <c r="H29" s="134">
        <v>5000000</v>
      </c>
      <c r="I29" s="405"/>
      <c r="J29" s="134">
        <v>5000000</v>
      </c>
      <c r="K29" s="405"/>
      <c r="L29" s="134">
        <v>5198090</v>
      </c>
      <c r="M29" s="662"/>
      <c r="N29" s="406">
        <f>SUM(H29,J29,L29)</f>
        <v>15198090</v>
      </c>
      <c r="O29" s="407"/>
      <c r="P29" s="134">
        <v>5000000</v>
      </c>
      <c r="Q29" s="405"/>
      <c r="R29" s="134">
        <v>5185330</v>
      </c>
      <c r="S29" s="405"/>
      <c r="T29" s="134"/>
      <c r="U29" s="662"/>
      <c r="V29" s="406">
        <f>SUM(P29,R29,T29)</f>
        <v>10185330</v>
      </c>
      <c r="W29" s="407"/>
      <c r="X29" s="134"/>
      <c r="Y29" s="405"/>
      <c r="Z29" s="134"/>
      <c r="AA29" s="405"/>
      <c r="AB29" s="134"/>
      <c r="AC29" s="662"/>
      <c r="AD29" s="406">
        <f>SUM(X29,Z29,AB29)</f>
        <v>0</v>
      </c>
      <c r="AE29" s="407"/>
      <c r="AF29" s="134"/>
      <c r="AG29" s="405"/>
      <c r="AH29" s="134"/>
      <c r="AI29" s="405"/>
      <c r="AJ29" s="134"/>
      <c r="AK29" s="662"/>
      <c r="AL29" s="702">
        <f>SUM(AF29,AH29,AJ29)</f>
        <v>0</v>
      </c>
      <c r="AM29" s="407"/>
      <c r="AN29" s="589">
        <f t="shared" si="17"/>
        <v>25383420</v>
      </c>
      <c r="AO29" s="40"/>
      <c r="AP29" s="28"/>
      <c r="AQ29" s="28"/>
      <c r="AR29" s="28"/>
      <c r="AS29" s="28"/>
    </row>
    <row r="30" spans="1:46" s="10" customFormat="1" ht="18" customHeight="1" thickBot="1">
      <c r="B30" s="86"/>
      <c r="C30" s="781" t="s">
        <v>59</v>
      </c>
      <c r="D30" s="778" t="s">
        <v>60</v>
      </c>
      <c r="E30" s="87" t="s">
        <v>61</v>
      </c>
      <c r="F30" s="87" t="s">
        <v>656</v>
      </c>
      <c r="G30" s="88" t="s">
        <v>657</v>
      </c>
      <c r="H30" s="134">
        <v>0</v>
      </c>
      <c r="I30" s="405"/>
      <c r="J30" s="134">
        <v>0</v>
      </c>
      <c r="K30" s="405"/>
      <c r="L30" s="134">
        <v>0</v>
      </c>
      <c r="M30" s="662"/>
      <c r="N30" s="406">
        <f>SUM(H30,J30,L30)</f>
        <v>0</v>
      </c>
      <c r="O30" s="407"/>
      <c r="P30" s="134">
        <v>2527500</v>
      </c>
      <c r="Q30" s="405"/>
      <c r="R30" s="134">
        <v>3525780</v>
      </c>
      <c r="S30" s="405"/>
      <c r="T30" s="134"/>
      <c r="U30" s="662"/>
      <c r="V30" s="406">
        <f>SUM(P30,R30,T30)</f>
        <v>6053280</v>
      </c>
      <c r="W30" s="407"/>
      <c r="X30" s="134"/>
      <c r="Y30" s="405"/>
      <c r="Z30" s="134"/>
      <c r="AA30" s="405"/>
      <c r="AB30" s="134"/>
      <c r="AC30" s="662"/>
      <c r="AD30" s="406">
        <f>SUM(X30,Z30,AB30)</f>
        <v>0</v>
      </c>
      <c r="AE30" s="407"/>
      <c r="AF30" s="134"/>
      <c r="AG30" s="405"/>
      <c r="AH30" s="134"/>
      <c r="AI30" s="405"/>
      <c r="AJ30" s="134"/>
      <c r="AK30" s="662"/>
      <c r="AL30" s="702">
        <f>SUM(AF30,AH30,AJ30)</f>
        <v>0</v>
      </c>
      <c r="AM30" s="407"/>
      <c r="AN30" s="589">
        <f t="shared" si="17"/>
        <v>6053280</v>
      </c>
      <c r="AO30" s="40"/>
      <c r="AP30" s="28"/>
      <c r="AQ30" s="28"/>
      <c r="AR30" s="28"/>
      <c r="AS30" s="28"/>
    </row>
    <row r="31" spans="1:46" s="10" customFormat="1" ht="18" customHeight="1" thickBot="1">
      <c r="B31" s="86"/>
      <c r="C31" s="781" t="s">
        <v>59</v>
      </c>
      <c r="D31" s="778" t="s">
        <v>60</v>
      </c>
      <c r="E31" s="87" t="s">
        <v>61</v>
      </c>
      <c r="F31" s="87" t="s">
        <v>512</v>
      </c>
      <c r="G31" s="88" t="s">
        <v>73</v>
      </c>
      <c r="H31" s="95">
        <v>3416660</v>
      </c>
      <c r="I31" s="405"/>
      <c r="J31" s="95">
        <v>3416660</v>
      </c>
      <c r="K31" s="405"/>
      <c r="L31" s="95">
        <v>3536740</v>
      </c>
      <c r="M31" s="662"/>
      <c r="N31" s="406">
        <f>SUM(H31,J31,L31)</f>
        <v>10370060</v>
      </c>
      <c r="O31" s="407"/>
      <c r="P31" s="95">
        <v>1138880</v>
      </c>
      <c r="Q31" s="405"/>
      <c r="R31" s="95">
        <v>0</v>
      </c>
      <c r="S31" s="405"/>
      <c r="T31" s="95"/>
      <c r="U31" s="662"/>
      <c r="V31" s="406">
        <f>SUM(P31,R31,T31)</f>
        <v>1138880</v>
      </c>
      <c r="W31" s="407"/>
      <c r="X31" s="95"/>
      <c r="Y31" s="405"/>
      <c r="Z31" s="95"/>
      <c r="AA31" s="405"/>
      <c r="AB31" s="95"/>
      <c r="AC31" s="662"/>
      <c r="AD31" s="406">
        <f>SUM(X31,Z31,AB31)</f>
        <v>0</v>
      </c>
      <c r="AE31" s="407"/>
      <c r="AF31" s="95"/>
      <c r="AG31" s="405"/>
      <c r="AH31" s="95"/>
      <c r="AI31" s="405"/>
      <c r="AJ31" s="95"/>
      <c r="AK31" s="662"/>
      <c r="AL31" s="702">
        <f>SUM(AF31,AH31,AJ31)</f>
        <v>0</v>
      </c>
      <c r="AM31" s="407"/>
      <c r="AN31" s="589">
        <f t="shared" si="17"/>
        <v>11508940</v>
      </c>
      <c r="AO31" s="40"/>
      <c r="AP31" s="28"/>
      <c r="AQ31" s="28"/>
      <c r="AR31" s="28"/>
      <c r="AS31" s="28"/>
    </row>
    <row r="32" spans="1:46" s="10" customFormat="1" ht="18" customHeight="1" thickBot="1">
      <c r="B32" s="86"/>
      <c r="C32" s="781" t="s">
        <v>59</v>
      </c>
      <c r="D32" s="778" t="s">
        <v>60</v>
      </c>
      <c r="E32" s="87" t="s">
        <v>61</v>
      </c>
      <c r="F32" s="87" t="s">
        <v>70</v>
      </c>
      <c r="G32" s="94" t="s">
        <v>71</v>
      </c>
      <c r="H32" s="95">
        <v>3450000</v>
      </c>
      <c r="I32" s="405"/>
      <c r="J32" s="95">
        <v>3450000</v>
      </c>
      <c r="K32" s="405"/>
      <c r="L32" s="95">
        <v>3550620</v>
      </c>
      <c r="M32" s="662"/>
      <c r="N32" s="406">
        <f>SUM(H32,J32,L32)</f>
        <v>10450620</v>
      </c>
      <c r="O32" s="407"/>
      <c r="P32" s="95">
        <v>3450000</v>
      </c>
      <c r="Q32" s="405"/>
      <c r="R32" s="95">
        <v>3527400</v>
      </c>
      <c r="S32" s="405"/>
      <c r="T32" s="95"/>
      <c r="U32" s="662"/>
      <c r="V32" s="406">
        <f>SUM(P32,R32,T32)</f>
        <v>6977400</v>
      </c>
      <c r="W32" s="407"/>
      <c r="X32" s="95"/>
      <c r="Y32" s="405"/>
      <c r="Z32" s="95"/>
      <c r="AA32" s="405"/>
      <c r="AB32" s="95"/>
      <c r="AC32" s="662"/>
      <c r="AD32" s="406">
        <f>SUM(X32,Z32,AB32)</f>
        <v>0</v>
      </c>
      <c r="AE32" s="407"/>
      <c r="AF32" s="95"/>
      <c r="AG32" s="405"/>
      <c r="AH32" s="95"/>
      <c r="AI32" s="405"/>
      <c r="AJ32" s="95"/>
      <c r="AK32" s="662"/>
      <c r="AL32" s="702">
        <f>SUM(AF32,AH32,AJ32)</f>
        <v>0</v>
      </c>
      <c r="AM32" s="407"/>
      <c r="AN32" s="589">
        <f t="shared" si="17"/>
        <v>17428020</v>
      </c>
      <c r="AO32" s="40"/>
      <c r="AP32" s="28"/>
      <c r="AQ32" s="28"/>
      <c r="AR32" s="28"/>
      <c r="AS32" s="28"/>
    </row>
    <row r="33" spans="2:45" s="10" customFormat="1" ht="18" customHeight="1" thickBot="1">
      <c r="B33" s="86"/>
      <c r="C33" s="781" t="s">
        <v>59</v>
      </c>
      <c r="D33" s="778" t="s">
        <v>60</v>
      </c>
      <c r="E33" s="87" t="s">
        <v>61</v>
      </c>
      <c r="F33" s="87" t="s">
        <v>64</v>
      </c>
      <c r="G33" s="88" t="s">
        <v>65</v>
      </c>
      <c r="H33" s="134">
        <v>2489700</v>
      </c>
      <c r="I33" s="405"/>
      <c r="J33" s="134">
        <v>2551620</v>
      </c>
      <c r="K33" s="405"/>
      <c r="L33" s="134">
        <v>2559360</v>
      </c>
      <c r="M33" s="662"/>
      <c r="N33" s="406">
        <f t="shared" si="13"/>
        <v>7600680</v>
      </c>
      <c r="O33" s="407"/>
      <c r="P33" s="134">
        <v>2342640</v>
      </c>
      <c r="Q33" s="405"/>
      <c r="R33" s="134">
        <v>2543880</v>
      </c>
      <c r="S33" s="405"/>
      <c r="T33" s="134"/>
      <c r="U33" s="662"/>
      <c r="V33" s="406">
        <f t="shared" si="14"/>
        <v>4886520</v>
      </c>
      <c r="W33" s="407"/>
      <c r="X33" s="134"/>
      <c r="Y33" s="405"/>
      <c r="Z33" s="134"/>
      <c r="AA33" s="405"/>
      <c r="AB33" s="134"/>
      <c r="AC33" s="662"/>
      <c r="AD33" s="406">
        <f t="shared" si="15"/>
        <v>0</v>
      </c>
      <c r="AE33" s="407"/>
      <c r="AF33" s="134"/>
      <c r="AG33" s="405"/>
      <c r="AH33" s="134"/>
      <c r="AI33" s="405"/>
      <c r="AJ33" s="134"/>
      <c r="AK33" s="662"/>
      <c r="AL33" s="702">
        <f t="shared" si="16"/>
        <v>0</v>
      </c>
      <c r="AM33" s="407"/>
      <c r="AN33" s="589">
        <f t="shared" si="17"/>
        <v>12487200</v>
      </c>
      <c r="AO33" s="40"/>
      <c r="AP33" s="27"/>
      <c r="AQ33" s="28"/>
      <c r="AR33" s="28"/>
      <c r="AS33" s="28"/>
    </row>
    <row r="34" spans="2:45" s="10" customFormat="1" ht="18" customHeight="1" thickBot="1">
      <c r="B34" s="86"/>
      <c r="C34" s="781" t="s">
        <v>59</v>
      </c>
      <c r="D34" s="778" t="s">
        <v>60</v>
      </c>
      <c r="E34" s="87" t="s">
        <v>61</v>
      </c>
      <c r="F34" s="87" t="s">
        <v>68</v>
      </c>
      <c r="G34" s="88" t="s">
        <v>69</v>
      </c>
      <c r="H34" s="95">
        <v>2427780</v>
      </c>
      <c r="I34" s="405"/>
      <c r="J34" s="95">
        <v>2551620</v>
      </c>
      <c r="K34" s="405"/>
      <c r="L34" s="95">
        <v>2435520</v>
      </c>
      <c r="M34" s="662"/>
      <c r="N34" s="406">
        <f t="shared" si="13"/>
        <v>7414920</v>
      </c>
      <c r="O34" s="407"/>
      <c r="P34" s="95">
        <v>2404560</v>
      </c>
      <c r="Q34" s="405"/>
      <c r="R34" s="95">
        <v>2779640</v>
      </c>
      <c r="S34" s="405"/>
      <c r="T34" s="95"/>
      <c r="U34" s="662"/>
      <c r="V34" s="406">
        <f t="shared" si="14"/>
        <v>5184200</v>
      </c>
      <c r="W34" s="407"/>
      <c r="X34" s="95"/>
      <c r="Y34" s="405"/>
      <c r="Z34" s="95"/>
      <c r="AA34" s="405"/>
      <c r="AB34" s="95"/>
      <c r="AC34" s="662"/>
      <c r="AD34" s="406">
        <f t="shared" si="15"/>
        <v>0</v>
      </c>
      <c r="AE34" s="407"/>
      <c r="AF34" s="95"/>
      <c r="AG34" s="405"/>
      <c r="AH34" s="95"/>
      <c r="AI34" s="405"/>
      <c r="AJ34" s="95"/>
      <c r="AK34" s="662"/>
      <c r="AL34" s="702">
        <f t="shared" si="16"/>
        <v>0</v>
      </c>
      <c r="AM34" s="407"/>
      <c r="AN34" s="589">
        <f t="shared" si="17"/>
        <v>12599120</v>
      </c>
      <c r="AO34" s="40"/>
      <c r="AP34" s="28"/>
      <c r="AQ34" s="28"/>
      <c r="AR34" s="28"/>
      <c r="AS34" s="28"/>
    </row>
    <row r="35" spans="2:45" s="10" customFormat="1" ht="18" customHeight="1" thickBot="1">
      <c r="B35" s="86"/>
      <c r="C35" s="781" t="s">
        <v>59</v>
      </c>
      <c r="D35" s="778" t="s">
        <v>60</v>
      </c>
      <c r="E35" s="87" t="s">
        <v>61</v>
      </c>
      <c r="F35" s="87" t="s">
        <v>75</v>
      </c>
      <c r="G35" s="88" t="s">
        <v>76</v>
      </c>
      <c r="H35" s="95">
        <v>2427780</v>
      </c>
      <c r="I35" s="405"/>
      <c r="J35" s="95">
        <v>2543880</v>
      </c>
      <c r="K35" s="405"/>
      <c r="L35" s="95">
        <v>2342640</v>
      </c>
      <c r="M35" s="662"/>
      <c r="N35" s="406">
        <f t="shared" si="13"/>
        <v>7314300</v>
      </c>
      <c r="O35" s="407"/>
      <c r="P35" s="95">
        <v>2280720</v>
      </c>
      <c r="Q35" s="405"/>
      <c r="R35" s="95">
        <v>2605800</v>
      </c>
      <c r="S35" s="405"/>
      <c r="T35" s="95"/>
      <c r="U35" s="662"/>
      <c r="V35" s="406">
        <f t="shared" si="14"/>
        <v>4886520</v>
      </c>
      <c r="W35" s="407"/>
      <c r="X35" s="95"/>
      <c r="Y35" s="405"/>
      <c r="Z35" s="95"/>
      <c r="AA35" s="405"/>
      <c r="AB35" s="95"/>
      <c r="AC35" s="662"/>
      <c r="AD35" s="406">
        <f t="shared" si="15"/>
        <v>0</v>
      </c>
      <c r="AE35" s="407"/>
      <c r="AF35" s="95"/>
      <c r="AG35" s="405"/>
      <c r="AH35" s="95"/>
      <c r="AI35" s="405"/>
      <c r="AJ35" s="95"/>
      <c r="AK35" s="662"/>
      <c r="AL35" s="702">
        <f t="shared" si="16"/>
        <v>0</v>
      </c>
      <c r="AM35" s="407"/>
      <c r="AN35" s="589">
        <f t="shared" si="17"/>
        <v>12200820</v>
      </c>
      <c r="AO35" s="40"/>
      <c r="AP35" s="28"/>
      <c r="AQ35" s="28"/>
      <c r="AR35" s="28"/>
      <c r="AS35" s="28"/>
    </row>
    <row r="36" spans="2:45" s="10" customFormat="1" ht="18" customHeight="1" thickBot="1">
      <c r="B36" s="86"/>
      <c r="C36" s="781" t="s">
        <v>59</v>
      </c>
      <c r="D36" s="778" t="s">
        <v>60</v>
      </c>
      <c r="E36" s="87" t="s">
        <v>61</v>
      </c>
      <c r="F36" s="87" t="s">
        <v>77</v>
      </c>
      <c r="G36" s="94" t="s">
        <v>78</v>
      </c>
      <c r="H36" s="95">
        <v>2303940</v>
      </c>
      <c r="I36" s="405"/>
      <c r="J36" s="95">
        <v>2543880</v>
      </c>
      <c r="K36" s="405"/>
      <c r="L36" s="95">
        <v>2288460</v>
      </c>
      <c r="M36" s="662"/>
      <c r="N36" s="406">
        <f t="shared" si="13"/>
        <v>7136280</v>
      </c>
      <c r="O36" s="407"/>
      <c r="P36" s="95">
        <v>2280720</v>
      </c>
      <c r="Q36" s="405"/>
      <c r="R36" s="95">
        <v>2404560</v>
      </c>
      <c r="S36" s="405"/>
      <c r="T36" s="95"/>
      <c r="U36" s="662"/>
      <c r="V36" s="406">
        <f t="shared" si="14"/>
        <v>4685280</v>
      </c>
      <c r="W36" s="407"/>
      <c r="X36" s="95"/>
      <c r="Y36" s="405"/>
      <c r="Z36" s="95"/>
      <c r="AA36" s="405"/>
      <c r="AB36" s="95"/>
      <c r="AC36" s="662"/>
      <c r="AD36" s="406">
        <f t="shared" si="15"/>
        <v>0</v>
      </c>
      <c r="AE36" s="407"/>
      <c r="AF36" s="95"/>
      <c r="AG36" s="405"/>
      <c r="AH36" s="95"/>
      <c r="AI36" s="405"/>
      <c r="AJ36" s="95"/>
      <c r="AK36" s="662"/>
      <c r="AL36" s="702">
        <f t="shared" si="16"/>
        <v>0</v>
      </c>
      <c r="AM36" s="407"/>
      <c r="AN36" s="589">
        <f t="shared" si="17"/>
        <v>11821560</v>
      </c>
      <c r="AO36" s="40"/>
      <c r="AP36" s="28"/>
      <c r="AQ36" s="28"/>
      <c r="AR36" s="28"/>
      <c r="AS36" s="28"/>
    </row>
    <row r="37" spans="2:45" s="10" customFormat="1" ht="18" customHeight="1" thickBot="1">
      <c r="B37" s="86"/>
      <c r="C37" s="781" t="s">
        <v>59</v>
      </c>
      <c r="D37" s="778" t="s">
        <v>60</v>
      </c>
      <c r="E37" s="87" t="s">
        <v>74</v>
      </c>
      <c r="F37" s="87" t="s">
        <v>85</v>
      </c>
      <c r="G37" s="88" t="s">
        <v>86</v>
      </c>
      <c r="H37" s="95">
        <v>3500000</v>
      </c>
      <c r="I37" s="405"/>
      <c r="J37" s="95">
        <v>2767080</v>
      </c>
      <c r="K37" s="405"/>
      <c r="L37" s="95">
        <v>2648380</v>
      </c>
      <c r="M37" s="662"/>
      <c r="N37" s="406">
        <f>SUM(H37,J37,L37)</f>
        <v>8915460</v>
      </c>
      <c r="O37" s="407"/>
      <c r="P37" s="95">
        <v>2500000</v>
      </c>
      <c r="Q37" s="405"/>
      <c r="R37" s="95">
        <v>2745120</v>
      </c>
      <c r="S37" s="405"/>
      <c r="T37" s="95"/>
      <c r="U37" s="662"/>
      <c r="V37" s="406">
        <f>SUM(P37,R37,T37)</f>
        <v>5245120</v>
      </c>
      <c r="W37" s="407"/>
      <c r="X37" s="95"/>
      <c r="Y37" s="405"/>
      <c r="Z37" s="95"/>
      <c r="AA37" s="405"/>
      <c r="AB37" s="95"/>
      <c r="AC37" s="662"/>
      <c r="AD37" s="406">
        <f>SUM(X37,Z37,AB37)</f>
        <v>0</v>
      </c>
      <c r="AE37" s="407"/>
      <c r="AF37" s="95"/>
      <c r="AG37" s="405"/>
      <c r="AH37" s="95"/>
      <c r="AI37" s="405"/>
      <c r="AJ37" s="95"/>
      <c r="AK37" s="662"/>
      <c r="AL37" s="702">
        <f>SUM(AF37,AH37,AJ37)</f>
        <v>0</v>
      </c>
      <c r="AM37" s="407"/>
      <c r="AN37" s="589">
        <f>SUM(AD37,V37,N37,AL37)</f>
        <v>14160580</v>
      </c>
      <c r="AO37" s="40"/>
      <c r="AP37" s="27"/>
      <c r="AQ37" s="28"/>
      <c r="AR37" s="28"/>
      <c r="AS37" s="28"/>
    </row>
    <row r="38" spans="2:45" s="10" customFormat="1" ht="18" customHeight="1" thickBot="1">
      <c r="B38" s="86"/>
      <c r="C38" s="781" t="s">
        <v>59</v>
      </c>
      <c r="D38" s="778" t="s">
        <v>60</v>
      </c>
      <c r="E38" s="87" t="s">
        <v>74</v>
      </c>
      <c r="F38" s="87" t="s">
        <v>83</v>
      </c>
      <c r="G38" s="88" t="s">
        <v>84</v>
      </c>
      <c r="H38" s="95">
        <v>2839700</v>
      </c>
      <c r="I38" s="405"/>
      <c r="J38" s="95">
        <v>2543880</v>
      </c>
      <c r="K38" s="405"/>
      <c r="L38" s="95">
        <v>2412300</v>
      </c>
      <c r="M38" s="662"/>
      <c r="N38" s="406">
        <f>SUM(H38,J38,L38)</f>
        <v>7795880</v>
      </c>
      <c r="O38" s="407"/>
      <c r="P38" s="95">
        <v>2342640</v>
      </c>
      <c r="Q38" s="405"/>
      <c r="R38" s="95">
        <v>2605800</v>
      </c>
      <c r="S38" s="405"/>
      <c r="T38" s="95"/>
      <c r="U38" s="662"/>
      <c r="V38" s="406">
        <f>SUM(P38,R38,T38)</f>
        <v>4948440</v>
      </c>
      <c r="W38" s="407"/>
      <c r="X38" s="95"/>
      <c r="Y38" s="405"/>
      <c r="Z38" s="95"/>
      <c r="AA38" s="405"/>
      <c r="AB38" s="95"/>
      <c r="AC38" s="662"/>
      <c r="AD38" s="406">
        <f>SUM(X38,Z38,AB38)</f>
        <v>0</v>
      </c>
      <c r="AE38" s="407"/>
      <c r="AF38" s="95"/>
      <c r="AG38" s="405"/>
      <c r="AH38" s="95"/>
      <c r="AI38" s="405"/>
      <c r="AJ38" s="95"/>
      <c r="AK38" s="662"/>
      <c r="AL38" s="702">
        <f>SUM(AF38,AH38,AJ38)</f>
        <v>0</v>
      </c>
      <c r="AM38" s="407"/>
      <c r="AN38" s="589">
        <f>SUM(AD38,V38,N38,AL38)</f>
        <v>12744320</v>
      </c>
      <c r="AO38" s="40"/>
      <c r="AP38" s="28"/>
      <c r="AQ38" s="28"/>
      <c r="AR38" s="28"/>
      <c r="AS38" s="28"/>
    </row>
    <row r="39" spans="2:45" s="10" customFormat="1" ht="18" customHeight="1" thickBot="1">
      <c r="B39" s="86"/>
      <c r="C39" s="781" t="s">
        <v>59</v>
      </c>
      <c r="D39" s="778" t="s">
        <v>60</v>
      </c>
      <c r="E39" s="87" t="s">
        <v>74</v>
      </c>
      <c r="F39" s="87" t="s">
        <v>87</v>
      </c>
      <c r="G39" s="88" t="s">
        <v>88</v>
      </c>
      <c r="H39" s="95">
        <v>2700000</v>
      </c>
      <c r="I39" s="405"/>
      <c r="J39" s="95">
        <v>2829000</v>
      </c>
      <c r="K39" s="405"/>
      <c r="L39" s="95">
        <v>2700000</v>
      </c>
      <c r="M39" s="662"/>
      <c r="N39" s="406">
        <f>SUM(H39,J39,L39)</f>
        <v>8229000</v>
      </c>
      <c r="O39" s="407"/>
      <c r="P39" s="95">
        <v>2700000</v>
      </c>
      <c r="Q39" s="405"/>
      <c r="R39" s="95">
        <v>2891330</v>
      </c>
      <c r="S39" s="405"/>
      <c r="T39" s="95"/>
      <c r="U39" s="662"/>
      <c r="V39" s="406">
        <f>SUM(P39,R39,T39)</f>
        <v>5591330</v>
      </c>
      <c r="W39" s="407"/>
      <c r="X39" s="95"/>
      <c r="Y39" s="405"/>
      <c r="Z39" s="95"/>
      <c r="AA39" s="405"/>
      <c r="AB39" s="95"/>
      <c r="AC39" s="662"/>
      <c r="AD39" s="406">
        <f>SUM(X39,Z39,AB39)</f>
        <v>0</v>
      </c>
      <c r="AE39" s="407"/>
      <c r="AF39" s="95"/>
      <c r="AG39" s="405"/>
      <c r="AH39" s="95"/>
      <c r="AI39" s="405"/>
      <c r="AJ39" s="95"/>
      <c r="AK39" s="662"/>
      <c r="AL39" s="702">
        <f>SUM(AF39,AH39,AJ39)</f>
        <v>0</v>
      </c>
      <c r="AM39" s="407"/>
      <c r="AN39" s="589">
        <f>SUM(AD39,V39,N39,AL39)</f>
        <v>13820330</v>
      </c>
      <c r="AO39" s="40"/>
      <c r="AP39" s="27"/>
      <c r="AQ39" s="28"/>
      <c r="AR39" s="28"/>
      <c r="AS39" s="28"/>
    </row>
    <row r="40" spans="2:45" s="10" customFormat="1" ht="18" customHeight="1" thickBot="1">
      <c r="B40" s="86"/>
      <c r="C40" s="781" t="s">
        <v>59</v>
      </c>
      <c r="D40" s="778" t="s">
        <v>60</v>
      </c>
      <c r="E40" s="87" t="s">
        <v>74</v>
      </c>
      <c r="F40" s="87" t="s">
        <v>79</v>
      </c>
      <c r="G40" s="88" t="s">
        <v>80</v>
      </c>
      <c r="H40" s="95">
        <v>2700000</v>
      </c>
      <c r="I40" s="405"/>
      <c r="J40" s="95">
        <v>544920</v>
      </c>
      <c r="K40" s="405"/>
      <c r="L40" s="95">
        <v>2053440</v>
      </c>
      <c r="M40" s="662"/>
      <c r="N40" s="406">
        <f t="shared" si="13"/>
        <v>5298360</v>
      </c>
      <c r="O40" s="407"/>
      <c r="P40" s="95">
        <v>2754560</v>
      </c>
      <c r="Q40" s="405"/>
      <c r="R40" s="95">
        <v>3079640</v>
      </c>
      <c r="S40" s="405"/>
      <c r="T40" s="95"/>
      <c r="U40" s="662"/>
      <c r="V40" s="406">
        <f t="shared" si="14"/>
        <v>5834200</v>
      </c>
      <c r="W40" s="407"/>
      <c r="X40" s="95"/>
      <c r="Y40" s="405"/>
      <c r="Z40" s="95"/>
      <c r="AA40" s="405"/>
      <c r="AB40" s="95"/>
      <c r="AC40" s="662"/>
      <c r="AD40" s="406">
        <f t="shared" si="15"/>
        <v>0</v>
      </c>
      <c r="AE40" s="407"/>
      <c r="AF40" s="95"/>
      <c r="AG40" s="405"/>
      <c r="AH40" s="95"/>
      <c r="AI40" s="405"/>
      <c r="AJ40" s="95"/>
      <c r="AK40" s="662"/>
      <c r="AL40" s="702">
        <f t="shared" si="16"/>
        <v>0</v>
      </c>
      <c r="AM40" s="407"/>
      <c r="AN40" s="589">
        <f t="shared" si="17"/>
        <v>11132560</v>
      </c>
      <c r="AO40" s="40"/>
      <c r="AP40" s="28"/>
      <c r="AQ40" s="28"/>
      <c r="AR40" s="28"/>
      <c r="AS40" s="28"/>
    </row>
    <row r="41" spans="2:45" s="10" customFormat="1" ht="18" customHeight="1" thickBot="1">
      <c r="B41" s="86"/>
      <c r="C41" s="781" t="s">
        <v>59</v>
      </c>
      <c r="D41" s="778" t="s">
        <v>60</v>
      </c>
      <c r="E41" s="87" t="s">
        <v>74</v>
      </c>
      <c r="F41" s="87" t="s">
        <v>81</v>
      </c>
      <c r="G41" s="88" t="s">
        <v>82</v>
      </c>
      <c r="H41" s="95">
        <v>2420040</v>
      </c>
      <c r="I41" s="405"/>
      <c r="J41" s="95">
        <v>3500000</v>
      </c>
      <c r="K41" s="405"/>
      <c r="L41" s="95">
        <v>3577400</v>
      </c>
      <c r="M41" s="662"/>
      <c r="N41" s="406">
        <f>SUM(H41,J41,L41)</f>
        <v>9497440</v>
      </c>
      <c r="O41" s="407"/>
      <c r="P41" s="95">
        <v>3625000</v>
      </c>
      <c r="Q41" s="405"/>
      <c r="R41" s="95">
        <v>3616100</v>
      </c>
      <c r="S41" s="405"/>
      <c r="T41" s="95"/>
      <c r="U41" s="662"/>
      <c r="V41" s="406">
        <f>SUM(P41,R41,T41)</f>
        <v>7241100</v>
      </c>
      <c r="W41" s="407"/>
      <c r="X41" s="95"/>
      <c r="Y41" s="405"/>
      <c r="Z41" s="95"/>
      <c r="AA41" s="405"/>
      <c r="AB41" s="95"/>
      <c r="AC41" s="662"/>
      <c r="AD41" s="406">
        <f>SUM(X41,Z41,AB41)</f>
        <v>0</v>
      </c>
      <c r="AE41" s="407"/>
      <c r="AF41" s="95"/>
      <c r="AG41" s="405"/>
      <c r="AH41" s="95"/>
      <c r="AI41" s="405"/>
      <c r="AJ41" s="95"/>
      <c r="AK41" s="662"/>
      <c r="AL41" s="702">
        <f>SUM(AF41,AH41,AJ41)</f>
        <v>0</v>
      </c>
      <c r="AM41" s="407"/>
      <c r="AN41" s="589">
        <f t="shared" si="17"/>
        <v>16738540</v>
      </c>
      <c r="AO41" s="40"/>
      <c r="AP41" s="28"/>
      <c r="AQ41" s="28"/>
      <c r="AR41" s="28"/>
      <c r="AS41" s="28"/>
    </row>
    <row r="42" spans="2:45" s="10" customFormat="1" ht="18" customHeight="1" thickBot="1">
      <c r="B42" s="86"/>
      <c r="C42" s="781" t="s">
        <v>59</v>
      </c>
      <c r="D42" s="778" t="s">
        <v>60</v>
      </c>
      <c r="E42" s="87" t="s">
        <v>74</v>
      </c>
      <c r="F42" s="87" t="s">
        <v>89</v>
      </c>
      <c r="G42" s="88" t="s">
        <v>90</v>
      </c>
      <c r="H42" s="95">
        <v>2489700</v>
      </c>
      <c r="I42" s="405"/>
      <c r="J42" s="95">
        <v>2543880</v>
      </c>
      <c r="K42" s="405"/>
      <c r="L42" s="95">
        <v>2435520</v>
      </c>
      <c r="M42" s="662"/>
      <c r="N42" s="406">
        <f>SUM(H42,J42,L42)</f>
        <v>7469100</v>
      </c>
      <c r="O42" s="407"/>
      <c r="P42" s="95">
        <v>2404560</v>
      </c>
      <c r="Q42" s="405"/>
      <c r="R42" s="95">
        <v>2605800</v>
      </c>
      <c r="S42" s="405"/>
      <c r="T42" s="95"/>
      <c r="U42" s="662"/>
      <c r="V42" s="406">
        <f>SUM(P42,R42,T42)</f>
        <v>5010360</v>
      </c>
      <c r="W42" s="407"/>
      <c r="X42" s="95"/>
      <c r="Y42" s="405"/>
      <c r="Z42" s="95"/>
      <c r="AA42" s="405"/>
      <c r="AB42" s="95"/>
      <c r="AC42" s="662"/>
      <c r="AD42" s="406">
        <f>SUM(X42,Z42,AB42)</f>
        <v>0</v>
      </c>
      <c r="AE42" s="407"/>
      <c r="AF42" s="95"/>
      <c r="AG42" s="405"/>
      <c r="AH42" s="95"/>
      <c r="AI42" s="405"/>
      <c r="AJ42" s="95"/>
      <c r="AK42" s="662"/>
      <c r="AL42" s="702">
        <f>SUM(AF42,AH42,AJ42)</f>
        <v>0</v>
      </c>
      <c r="AM42" s="407"/>
      <c r="AN42" s="589">
        <f>SUM(AD42,V42,N42,AL42)</f>
        <v>12479460</v>
      </c>
      <c r="AO42" s="40"/>
      <c r="AP42" s="27"/>
      <c r="AQ42" s="28"/>
      <c r="AR42" s="28"/>
      <c r="AS42" s="28"/>
    </row>
    <row r="43" spans="2:45" s="10" customFormat="1" ht="18" customHeight="1" thickBot="1">
      <c r="B43" s="86"/>
      <c r="C43" s="781" t="s">
        <v>59</v>
      </c>
      <c r="D43" s="778" t="s">
        <v>60</v>
      </c>
      <c r="E43" s="87" t="s">
        <v>74</v>
      </c>
      <c r="F43" s="87" t="s">
        <v>483</v>
      </c>
      <c r="G43" s="88" t="s">
        <v>485</v>
      </c>
      <c r="H43" s="95">
        <v>483870.96774193546</v>
      </c>
      <c r="I43" s="405"/>
      <c r="J43" s="95">
        <v>1696430</v>
      </c>
      <c r="K43" s="405"/>
      <c r="L43" s="95">
        <v>0</v>
      </c>
      <c r="M43" s="662"/>
      <c r="N43" s="406">
        <f t="shared" si="13"/>
        <v>2180300.9677419355</v>
      </c>
      <c r="O43" s="407"/>
      <c r="P43" s="95">
        <v>0</v>
      </c>
      <c r="Q43" s="405"/>
      <c r="R43" s="95">
        <v>0</v>
      </c>
      <c r="S43" s="405"/>
      <c r="T43" s="95"/>
      <c r="U43" s="662"/>
      <c r="V43" s="406">
        <f t="shared" si="14"/>
        <v>0</v>
      </c>
      <c r="W43" s="407"/>
      <c r="X43" s="95"/>
      <c r="Y43" s="405"/>
      <c r="Z43" s="95"/>
      <c r="AA43" s="405"/>
      <c r="AB43" s="95"/>
      <c r="AC43" s="662"/>
      <c r="AD43" s="406">
        <f t="shared" si="15"/>
        <v>0</v>
      </c>
      <c r="AE43" s="407"/>
      <c r="AF43" s="95"/>
      <c r="AG43" s="405"/>
      <c r="AH43" s="95"/>
      <c r="AI43" s="405"/>
      <c r="AJ43" s="95"/>
      <c r="AK43" s="662"/>
      <c r="AL43" s="702">
        <f t="shared" si="16"/>
        <v>0</v>
      </c>
      <c r="AM43" s="407"/>
      <c r="AN43" s="589">
        <f t="shared" si="17"/>
        <v>2180300.9677419355</v>
      </c>
      <c r="AO43" s="40"/>
      <c r="AP43" s="28"/>
      <c r="AQ43" s="28"/>
      <c r="AR43" s="28"/>
      <c r="AS43" s="28"/>
    </row>
    <row r="44" spans="2:45" s="10" customFormat="1" ht="18" customHeight="1" thickBot="1">
      <c r="B44" s="86"/>
      <c r="C44" s="781" t="s">
        <v>59</v>
      </c>
      <c r="D44" s="778" t="s">
        <v>60</v>
      </c>
      <c r="E44" s="87" t="s">
        <v>74</v>
      </c>
      <c r="F44" s="87" t="s">
        <v>484</v>
      </c>
      <c r="G44" s="88" t="s">
        <v>492</v>
      </c>
      <c r="H44" s="95">
        <v>0</v>
      </c>
      <c r="I44" s="405"/>
      <c r="J44" s="95">
        <v>867850</v>
      </c>
      <c r="K44" s="405"/>
      <c r="L44" s="95">
        <v>802250</v>
      </c>
      <c r="M44" s="662"/>
      <c r="N44" s="406">
        <f t="shared" si="13"/>
        <v>1670100</v>
      </c>
      <c r="O44" s="407"/>
      <c r="P44" s="95">
        <v>0</v>
      </c>
      <c r="Q44" s="405"/>
      <c r="R44" s="95">
        <v>0</v>
      </c>
      <c r="S44" s="405"/>
      <c r="T44" s="95"/>
      <c r="U44" s="662"/>
      <c r="V44" s="406">
        <f t="shared" si="14"/>
        <v>0</v>
      </c>
      <c r="W44" s="407"/>
      <c r="X44" s="95"/>
      <c r="Y44" s="405"/>
      <c r="Z44" s="95"/>
      <c r="AA44" s="405"/>
      <c r="AB44" s="95"/>
      <c r="AC44" s="662"/>
      <c r="AD44" s="406">
        <f t="shared" si="15"/>
        <v>0</v>
      </c>
      <c r="AE44" s="407"/>
      <c r="AF44" s="95"/>
      <c r="AG44" s="405"/>
      <c r="AH44" s="95"/>
      <c r="AI44" s="405"/>
      <c r="AJ44" s="95"/>
      <c r="AK44" s="662"/>
      <c r="AL44" s="702">
        <f t="shared" si="16"/>
        <v>0</v>
      </c>
      <c r="AM44" s="407"/>
      <c r="AN44" s="589">
        <f t="shared" si="17"/>
        <v>1670100</v>
      </c>
      <c r="AO44" s="40"/>
      <c r="AP44" s="28"/>
      <c r="AQ44" s="28"/>
      <c r="AR44" s="28"/>
      <c r="AS44" s="28"/>
    </row>
    <row r="45" spans="2:45" s="10" customFormat="1" ht="18" customHeight="1" thickBot="1">
      <c r="B45" s="86"/>
      <c r="C45" s="781" t="s">
        <v>59</v>
      </c>
      <c r="D45" s="778" t="s">
        <v>60</v>
      </c>
      <c r="E45" s="87" t="s">
        <v>74</v>
      </c>
      <c r="F45" s="106" t="s">
        <v>612</v>
      </c>
      <c r="G45" s="100" t="s">
        <v>613</v>
      </c>
      <c r="H45" s="95">
        <v>0</v>
      </c>
      <c r="I45" s="405"/>
      <c r="J45" s="95">
        <v>0</v>
      </c>
      <c r="K45" s="405"/>
      <c r="L45" s="95">
        <v>2133990</v>
      </c>
      <c r="M45" s="662"/>
      <c r="N45" s="406">
        <f t="shared" si="13"/>
        <v>2133990</v>
      </c>
      <c r="O45" s="407"/>
      <c r="P45" s="95">
        <v>2404560</v>
      </c>
      <c r="Q45" s="405"/>
      <c r="R45" s="95">
        <v>1317130</v>
      </c>
      <c r="S45" s="405"/>
      <c r="T45" s="95"/>
      <c r="U45" s="662"/>
      <c r="V45" s="406">
        <f t="shared" si="14"/>
        <v>3721690</v>
      </c>
      <c r="W45" s="407"/>
      <c r="X45" s="95"/>
      <c r="Y45" s="405"/>
      <c r="Z45" s="95"/>
      <c r="AA45" s="405"/>
      <c r="AB45" s="95"/>
      <c r="AC45" s="662"/>
      <c r="AD45" s="406">
        <f t="shared" si="15"/>
        <v>0</v>
      </c>
      <c r="AE45" s="407"/>
      <c r="AF45" s="95"/>
      <c r="AG45" s="405"/>
      <c r="AH45" s="95"/>
      <c r="AI45" s="405"/>
      <c r="AJ45" s="95"/>
      <c r="AK45" s="662"/>
      <c r="AL45" s="702">
        <f t="shared" si="16"/>
        <v>0</v>
      </c>
      <c r="AM45" s="407"/>
      <c r="AN45" s="589">
        <f t="shared" si="17"/>
        <v>5855680</v>
      </c>
      <c r="AO45" s="40"/>
      <c r="AP45" s="28"/>
      <c r="AQ45" s="28"/>
      <c r="AR45" s="28"/>
      <c r="AS45" s="28"/>
    </row>
    <row r="46" spans="2:45" s="10" customFormat="1" ht="18" customHeight="1" thickBot="1">
      <c r="B46" s="86"/>
      <c r="C46" s="781" t="s">
        <v>59</v>
      </c>
      <c r="D46" s="778" t="s">
        <v>60</v>
      </c>
      <c r="E46" s="106" t="s">
        <v>74</v>
      </c>
      <c r="F46" s="868" t="s">
        <v>693</v>
      </c>
      <c r="G46" s="100" t="s">
        <v>694</v>
      </c>
      <c r="H46" s="479">
        <v>0</v>
      </c>
      <c r="I46" s="409"/>
      <c r="J46" s="479">
        <v>0</v>
      </c>
      <c r="K46" s="409"/>
      <c r="L46" s="479">
        <v>0</v>
      </c>
      <c r="M46" s="663"/>
      <c r="N46" s="408">
        <f>SUM(H46,J46,L46)</f>
        <v>0</v>
      </c>
      <c r="O46" s="410"/>
      <c r="P46" s="714">
        <v>1333330</v>
      </c>
      <c r="Q46" s="409"/>
      <c r="R46" s="404">
        <v>3018580</v>
      </c>
      <c r="S46" s="409"/>
      <c r="T46" s="404"/>
      <c r="U46" s="663"/>
      <c r="V46" s="408">
        <f>SUM(P46,R46,T46)</f>
        <v>4351910</v>
      </c>
      <c r="W46" s="410"/>
      <c r="X46" s="404"/>
      <c r="Y46" s="409"/>
      <c r="Z46" s="404"/>
      <c r="AA46" s="409"/>
      <c r="AB46" s="404"/>
      <c r="AC46" s="663"/>
      <c r="AD46" s="406">
        <f>SUM(X46,Z46,AB46)</f>
        <v>0</v>
      </c>
      <c r="AE46" s="410"/>
      <c r="AF46" s="404"/>
      <c r="AG46" s="409"/>
      <c r="AH46" s="404"/>
      <c r="AI46" s="409"/>
      <c r="AJ46" s="404"/>
      <c r="AK46" s="663"/>
      <c r="AL46" s="702">
        <f>SUM(AF46,AH46,AJ46)</f>
        <v>0</v>
      </c>
      <c r="AM46" s="410"/>
      <c r="AN46" s="589">
        <f>SUM(AD46,V46,N46,AL46)</f>
        <v>4351910</v>
      </c>
      <c r="AO46" s="66"/>
      <c r="AP46" s="27"/>
      <c r="AQ46" s="28"/>
      <c r="AR46" s="28"/>
      <c r="AS46" s="28"/>
    </row>
    <row r="47" spans="2:45" s="10" customFormat="1" ht="18" customHeight="1" thickBot="1">
      <c r="B47" s="86"/>
      <c r="C47" s="781" t="s">
        <v>59</v>
      </c>
      <c r="D47" s="778" t="s">
        <v>60</v>
      </c>
      <c r="E47" s="106" t="s">
        <v>74</v>
      </c>
      <c r="F47" s="106" t="s">
        <v>712</v>
      </c>
      <c r="G47" s="100" t="s">
        <v>714</v>
      </c>
      <c r="H47" s="479">
        <v>0</v>
      </c>
      <c r="I47" s="409"/>
      <c r="J47" s="479">
        <v>0</v>
      </c>
      <c r="K47" s="409"/>
      <c r="L47" s="479">
        <v>0</v>
      </c>
      <c r="M47" s="663"/>
      <c r="N47" s="408">
        <f t="shared" ref="N47:N48" si="18">SUM(H47,J47,L47)</f>
        <v>0</v>
      </c>
      <c r="O47" s="410"/>
      <c r="P47" s="479">
        <v>0</v>
      </c>
      <c r="Q47" s="409"/>
      <c r="R47" s="404">
        <v>1486080</v>
      </c>
      <c r="S47" s="409"/>
      <c r="T47" s="404"/>
      <c r="U47" s="663"/>
      <c r="V47" s="408">
        <f t="shared" ref="V47:V48" si="19">SUM(P47,R47,T47)</f>
        <v>1486080</v>
      </c>
      <c r="W47" s="410"/>
      <c r="X47" s="404"/>
      <c r="Y47" s="409"/>
      <c r="Z47" s="404"/>
      <c r="AA47" s="409"/>
      <c r="AB47" s="404"/>
      <c r="AC47" s="663"/>
      <c r="AD47" s="406">
        <f>SUM(X47,Z47,AB47)</f>
        <v>0</v>
      </c>
      <c r="AE47" s="410"/>
      <c r="AF47" s="404"/>
      <c r="AG47" s="409"/>
      <c r="AH47" s="404"/>
      <c r="AI47" s="409"/>
      <c r="AJ47" s="404"/>
      <c r="AK47" s="663"/>
      <c r="AL47" s="702">
        <f>SUM(AF47,AH47,AJ47)</f>
        <v>0</v>
      </c>
      <c r="AM47" s="410"/>
      <c r="AN47" s="589">
        <f t="shared" ref="AN47:AN48" si="20">SUM(AD47,V47,N47,AL47)</f>
        <v>1486080</v>
      </c>
      <c r="AO47" s="66"/>
      <c r="AP47" s="27"/>
      <c r="AQ47" s="28"/>
      <c r="AR47" s="28"/>
      <c r="AS47" s="28"/>
    </row>
    <row r="48" spans="2:45" s="10" customFormat="1" ht="18" customHeight="1" thickBot="1">
      <c r="B48" s="86"/>
      <c r="C48" s="781" t="s">
        <v>59</v>
      </c>
      <c r="D48" s="778" t="s">
        <v>60</v>
      </c>
      <c r="E48" s="106" t="s">
        <v>74</v>
      </c>
      <c r="F48" s="106" t="s">
        <v>713</v>
      </c>
      <c r="G48" s="100" t="s">
        <v>715</v>
      </c>
      <c r="H48" s="479">
        <v>0</v>
      </c>
      <c r="I48" s="409"/>
      <c r="J48" s="479">
        <v>0</v>
      </c>
      <c r="K48" s="409"/>
      <c r="L48" s="479">
        <v>0</v>
      </c>
      <c r="M48" s="663"/>
      <c r="N48" s="408">
        <f t="shared" si="18"/>
        <v>0</v>
      </c>
      <c r="O48" s="410"/>
      <c r="P48" s="479">
        <v>0</v>
      </c>
      <c r="Q48" s="409"/>
      <c r="R48" s="404">
        <v>990720</v>
      </c>
      <c r="S48" s="409"/>
      <c r="T48" s="404"/>
      <c r="U48" s="663"/>
      <c r="V48" s="408">
        <f t="shared" si="19"/>
        <v>990720</v>
      </c>
      <c r="W48" s="410"/>
      <c r="X48" s="404"/>
      <c r="Y48" s="409"/>
      <c r="Z48" s="404"/>
      <c r="AA48" s="409"/>
      <c r="AB48" s="404"/>
      <c r="AC48" s="663"/>
      <c r="AD48" s="406">
        <f>SUM(X48,Z48,AB48)</f>
        <v>0</v>
      </c>
      <c r="AE48" s="410"/>
      <c r="AF48" s="404"/>
      <c r="AG48" s="409"/>
      <c r="AH48" s="404"/>
      <c r="AI48" s="409"/>
      <c r="AJ48" s="404"/>
      <c r="AK48" s="663"/>
      <c r="AL48" s="702">
        <f>SUM(AF48,AH48,AJ48)</f>
        <v>0</v>
      </c>
      <c r="AM48" s="410"/>
      <c r="AN48" s="589">
        <f t="shared" si="20"/>
        <v>990720</v>
      </c>
      <c r="AO48" s="66"/>
      <c r="AP48" s="27"/>
      <c r="AQ48" s="28"/>
      <c r="AR48" s="28"/>
      <c r="AS48" s="28"/>
    </row>
    <row r="49" spans="2:45" s="10" customFormat="1" ht="18" customHeight="1" thickBot="1">
      <c r="B49" s="86"/>
      <c r="C49" s="781" t="s">
        <v>59</v>
      </c>
      <c r="D49" s="778" t="s">
        <v>60</v>
      </c>
      <c r="E49" s="106" t="s">
        <v>61</v>
      </c>
      <c r="F49" s="106" t="s">
        <v>116</v>
      </c>
      <c r="G49" s="489" t="s">
        <v>117</v>
      </c>
      <c r="H49" s="402">
        <v>6952007</v>
      </c>
      <c r="I49" s="405"/>
      <c r="J49" s="402">
        <v>0</v>
      </c>
      <c r="K49" s="405"/>
      <c r="L49" s="402">
        <v>0</v>
      </c>
      <c r="M49" s="662"/>
      <c r="N49" s="406">
        <f t="shared" si="13"/>
        <v>6952007</v>
      </c>
      <c r="O49" s="407"/>
      <c r="P49" s="402">
        <f>2232854+1307814</f>
        <v>3540668</v>
      </c>
      <c r="Q49" s="405"/>
      <c r="R49" s="402">
        <v>0</v>
      </c>
      <c r="S49" s="405"/>
      <c r="T49" s="402"/>
      <c r="U49" s="662"/>
      <c r="V49" s="406">
        <f t="shared" si="14"/>
        <v>3540668</v>
      </c>
      <c r="W49" s="407"/>
      <c r="X49" s="402"/>
      <c r="Y49" s="405"/>
      <c r="Z49" s="402"/>
      <c r="AA49" s="405"/>
      <c r="AB49" s="402"/>
      <c r="AC49" s="662"/>
      <c r="AD49" s="406">
        <f t="shared" si="15"/>
        <v>0</v>
      </c>
      <c r="AE49" s="407"/>
      <c r="AF49" s="402"/>
      <c r="AG49" s="405"/>
      <c r="AH49" s="402"/>
      <c r="AI49" s="405"/>
      <c r="AJ49" s="402"/>
      <c r="AK49" s="662"/>
      <c r="AL49" s="702">
        <f t="shared" si="16"/>
        <v>0</v>
      </c>
      <c r="AM49" s="407"/>
      <c r="AN49" s="589">
        <f t="shared" si="17"/>
        <v>10492675</v>
      </c>
      <c r="AO49" s="40"/>
      <c r="AP49" s="28"/>
      <c r="AQ49" s="28"/>
      <c r="AR49" s="28"/>
      <c r="AS49" s="28"/>
    </row>
    <row r="50" spans="2:45" s="10" customFormat="1" ht="18" customHeight="1" thickBot="1">
      <c r="B50" s="86"/>
      <c r="C50" s="781" t="s">
        <v>59</v>
      </c>
      <c r="D50" s="778" t="s">
        <v>60</v>
      </c>
      <c r="E50" s="106" t="s">
        <v>74</v>
      </c>
      <c r="F50" s="106" t="s">
        <v>118</v>
      </c>
      <c r="G50" s="100" t="s">
        <v>119</v>
      </c>
      <c r="H50" s="714">
        <v>3000000</v>
      </c>
      <c r="I50" s="409"/>
      <c r="J50" s="714">
        <v>3000000</v>
      </c>
      <c r="K50" s="409"/>
      <c r="L50" s="714">
        <v>3000000</v>
      </c>
      <c r="M50" s="663"/>
      <c r="N50" s="408">
        <f>SUM(H50,J50,L50)</f>
        <v>9000000</v>
      </c>
      <c r="O50" s="410"/>
      <c r="P50" s="714">
        <v>3000000</v>
      </c>
      <c r="Q50" s="409"/>
      <c r="R50" s="404">
        <v>2875350</v>
      </c>
      <c r="S50" s="409"/>
      <c r="T50" s="404"/>
      <c r="U50" s="663"/>
      <c r="V50" s="408">
        <f>SUM(P50,R50,T50)</f>
        <v>5875350</v>
      </c>
      <c r="W50" s="410"/>
      <c r="X50" s="404"/>
      <c r="Y50" s="409"/>
      <c r="Z50" s="404"/>
      <c r="AA50" s="409"/>
      <c r="AB50" s="404"/>
      <c r="AC50" s="663"/>
      <c r="AD50" s="406">
        <f t="shared" si="15"/>
        <v>0</v>
      </c>
      <c r="AE50" s="410"/>
      <c r="AF50" s="404"/>
      <c r="AG50" s="409"/>
      <c r="AH50" s="404"/>
      <c r="AI50" s="409"/>
      <c r="AJ50" s="404"/>
      <c r="AK50" s="663"/>
      <c r="AL50" s="702">
        <f t="shared" si="16"/>
        <v>0</v>
      </c>
      <c r="AM50" s="410"/>
      <c r="AN50" s="589">
        <f>SUM(AD50,V50,N50,AL50)</f>
        <v>14875350</v>
      </c>
      <c r="AO50" s="66"/>
      <c r="AP50" s="27"/>
      <c r="AQ50" s="28"/>
      <c r="AR50" s="28"/>
      <c r="AS50" s="28"/>
    </row>
    <row r="51" spans="2:45" s="10" customFormat="1" ht="18" customHeight="1" thickBot="1">
      <c r="B51" s="86"/>
      <c r="C51" s="781" t="s">
        <v>59</v>
      </c>
      <c r="D51" s="778" t="s">
        <v>60</v>
      </c>
      <c r="E51" s="106" t="s">
        <v>74</v>
      </c>
      <c r="F51" s="868" t="s">
        <v>642</v>
      </c>
      <c r="G51" s="100" t="s">
        <v>643</v>
      </c>
      <c r="H51" s="479">
        <v>0</v>
      </c>
      <c r="I51" s="409"/>
      <c r="J51" s="479">
        <v>0</v>
      </c>
      <c r="K51" s="409"/>
      <c r="L51" s="714">
        <v>2380640</v>
      </c>
      <c r="M51" s="663"/>
      <c r="N51" s="408">
        <f>SUM(H51,J51,L51)</f>
        <v>2380640</v>
      </c>
      <c r="O51" s="410"/>
      <c r="P51" s="714">
        <v>885407</v>
      </c>
      <c r="Q51" s="409"/>
      <c r="R51" s="404">
        <v>0</v>
      </c>
      <c r="S51" s="409"/>
      <c r="T51" s="404"/>
      <c r="U51" s="663"/>
      <c r="V51" s="408">
        <f>SUM(P51,R51,T51)</f>
        <v>885407</v>
      </c>
      <c r="W51" s="410"/>
      <c r="X51" s="404"/>
      <c r="Y51" s="409"/>
      <c r="Z51" s="404"/>
      <c r="AA51" s="409"/>
      <c r="AB51" s="404"/>
      <c r="AC51" s="663"/>
      <c r="AD51" s="406">
        <f t="shared" si="15"/>
        <v>0</v>
      </c>
      <c r="AE51" s="410"/>
      <c r="AF51" s="404"/>
      <c r="AG51" s="409"/>
      <c r="AH51" s="404"/>
      <c r="AI51" s="409"/>
      <c r="AJ51" s="404"/>
      <c r="AK51" s="663"/>
      <c r="AL51" s="702">
        <f t="shared" si="16"/>
        <v>0</v>
      </c>
      <c r="AM51" s="410"/>
      <c r="AN51" s="589">
        <f>SUM(AD51,V51,N51,AL51)</f>
        <v>3266047</v>
      </c>
      <c r="AO51" s="66"/>
      <c r="AP51" s="27"/>
      <c r="AQ51" s="28"/>
      <c r="AR51" s="28"/>
      <c r="AS51" s="28"/>
    </row>
    <row r="52" spans="2:45" s="10" customFormat="1" ht="18" customHeight="1" thickBot="1">
      <c r="B52" s="86"/>
      <c r="C52" s="781" t="s">
        <v>59</v>
      </c>
      <c r="D52" s="778" t="s">
        <v>60</v>
      </c>
      <c r="E52" s="106" t="s">
        <v>74</v>
      </c>
      <c r="F52" s="106" t="s">
        <v>716</v>
      </c>
      <c r="G52" s="100" t="s">
        <v>717</v>
      </c>
      <c r="H52" s="479">
        <v>0</v>
      </c>
      <c r="I52" s="409"/>
      <c r="J52" s="479">
        <v>0</v>
      </c>
      <c r="K52" s="409"/>
      <c r="L52" s="479">
        <v>0</v>
      </c>
      <c r="M52" s="663"/>
      <c r="N52" s="408">
        <f t="shared" ref="N52" si="21">SUM(H52,J52,L52)</f>
        <v>0</v>
      </c>
      <c r="O52" s="410"/>
      <c r="P52" s="479">
        <v>0</v>
      </c>
      <c r="Q52" s="409"/>
      <c r="R52" s="404">
        <v>606300</v>
      </c>
      <c r="S52" s="409"/>
      <c r="T52" s="404"/>
      <c r="U52" s="663"/>
      <c r="V52" s="408">
        <f t="shared" ref="V52" si="22">SUM(P52,R52,T52)</f>
        <v>606300</v>
      </c>
      <c r="W52" s="410"/>
      <c r="X52" s="404"/>
      <c r="Y52" s="409"/>
      <c r="Z52" s="404"/>
      <c r="AA52" s="409"/>
      <c r="AB52" s="404"/>
      <c r="AC52" s="663"/>
      <c r="AD52" s="406">
        <f>SUM(X52,Z52,AB52)</f>
        <v>0</v>
      </c>
      <c r="AE52" s="410"/>
      <c r="AF52" s="404"/>
      <c r="AG52" s="409"/>
      <c r="AH52" s="404"/>
      <c r="AI52" s="409"/>
      <c r="AJ52" s="404"/>
      <c r="AK52" s="663"/>
      <c r="AL52" s="702">
        <f>SUM(AF52,AH52,AJ52)</f>
        <v>0</v>
      </c>
      <c r="AM52" s="410"/>
      <c r="AN52" s="589">
        <f t="shared" ref="AN52" si="23">SUM(AD52,V52,N52,AL52)</f>
        <v>606300</v>
      </c>
      <c r="AO52" s="66"/>
      <c r="AP52" s="27"/>
      <c r="AQ52" s="28"/>
      <c r="AR52" s="28"/>
      <c r="AS52" s="28"/>
    </row>
    <row r="53" spans="2:45" s="10" customFormat="1" ht="18" customHeight="1" thickBot="1">
      <c r="B53" s="86"/>
      <c r="C53" s="781" t="s">
        <v>59</v>
      </c>
      <c r="D53" s="778" t="s">
        <v>60</v>
      </c>
      <c r="E53" s="106" t="s">
        <v>74</v>
      </c>
      <c r="F53" s="87" t="s">
        <v>91</v>
      </c>
      <c r="G53" s="191" t="s">
        <v>495</v>
      </c>
      <c r="H53" s="95">
        <v>0</v>
      </c>
      <c r="I53" s="405"/>
      <c r="J53" s="767">
        <v>0</v>
      </c>
      <c r="K53" s="405"/>
      <c r="L53" s="402">
        <v>0</v>
      </c>
      <c r="M53" s="662"/>
      <c r="N53" s="406">
        <f t="shared" ref="N53" si="24">SUM(H53,J53,L53)</f>
        <v>0</v>
      </c>
      <c r="O53" s="407"/>
      <c r="P53" s="402">
        <v>0</v>
      </c>
      <c r="Q53" s="405"/>
      <c r="R53" s="402"/>
      <c r="S53" s="405"/>
      <c r="T53" s="402"/>
      <c r="U53" s="662"/>
      <c r="V53" s="406">
        <f>SUM(P53,R53,T53)</f>
        <v>0</v>
      </c>
      <c r="W53" s="407"/>
      <c r="X53" s="402"/>
      <c r="Y53" s="405"/>
      <c r="Z53" s="402"/>
      <c r="AA53" s="405"/>
      <c r="AB53" s="402"/>
      <c r="AC53" s="662"/>
      <c r="AD53" s="406">
        <f>SUM(X53,Z53,AB53)</f>
        <v>0</v>
      </c>
      <c r="AE53" s="407"/>
      <c r="AF53" s="402"/>
      <c r="AG53" s="405"/>
      <c r="AH53" s="402"/>
      <c r="AI53" s="405"/>
      <c r="AJ53" s="402"/>
      <c r="AK53" s="662"/>
      <c r="AL53" s="702">
        <f>SUM(AF53,AH53,AJ53)</f>
        <v>0</v>
      </c>
      <c r="AM53" s="407"/>
      <c r="AN53" s="584">
        <f t="shared" ref="AN53:AN89" si="25">SUM(N53+V53+AD53+AL53)</f>
        <v>0</v>
      </c>
      <c r="AO53" s="40"/>
      <c r="AP53" s="28"/>
      <c r="AQ53" s="28"/>
      <c r="AR53" s="28"/>
      <c r="AS53" s="28"/>
    </row>
    <row r="54" spans="2:45" s="10" customFormat="1" ht="18" customHeight="1" thickBot="1">
      <c r="B54" s="86"/>
      <c r="C54" s="781" t="s">
        <v>59</v>
      </c>
      <c r="D54" s="1138" t="s">
        <v>692</v>
      </c>
      <c r="E54" s="1139"/>
      <c r="F54" s="1139"/>
      <c r="G54" s="1140"/>
      <c r="H54" s="494">
        <f>SUM(H28:H53)</f>
        <v>52767837.967741936</v>
      </c>
      <c r="I54" s="495"/>
      <c r="J54" s="494">
        <f>SUM(J28:J53)</f>
        <v>46517360</v>
      </c>
      <c r="K54" s="495"/>
      <c r="L54" s="494">
        <f>SUM(L28:L53)</f>
        <v>50222010</v>
      </c>
      <c r="M54" s="665"/>
      <c r="N54" s="496">
        <f t="shared" ref="N54" si="26">SUM(H54,J54,L54)</f>
        <v>149507207.96774194</v>
      </c>
      <c r="O54" s="497"/>
      <c r="P54" s="494">
        <f>SUM(P28:P53)</f>
        <v>52249075</v>
      </c>
      <c r="Q54" s="495"/>
      <c r="R54" s="494">
        <f>SUM(R28:R53)</f>
        <v>50410340</v>
      </c>
      <c r="S54" s="495"/>
      <c r="T54" s="494">
        <f>SUM(T28:T53)</f>
        <v>0</v>
      </c>
      <c r="U54" s="665"/>
      <c r="V54" s="496">
        <f>SUM(P54,R54,T54)</f>
        <v>102659415</v>
      </c>
      <c r="W54" s="497"/>
      <c r="X54" s="494">
        <f>SUM(X28:X53)</f>
        <v>0</v>
      </c>
      <c r="Y54" s="495"/>
      <c r="Z54" s="494">
        <f>SUM(Z28:Z53)</f>
        <v>0</v>
      </c>
      <c r="AA54" s="495"/>
      <c r="AB54" s="494">
        <f>SUM(AB28:AB53)</f>
        <v>0</v>
      </c>
      <c r="AC54" s="665"/>
      <c r="AD54" s="496">
        <f>SUM(X54,Z54,AB54)</f>
        <v>0</v>
      </c>
      <c r="AE54" s="497"/>
      <c r="AF54" s="494">
        <f>SUM(AF28:AF53)</f>
        <v>0</v>
      </c>
      <c r="AG54" s="495"/>
      <c r="AH54" s="494">
        <f>SUM(AH28:AH53)</f>
        <v>0</v>
      </c>
      <c r="AI54" s="495"/>
      <c r="AJ54" s="494">
        <f>SUM(AJ28:AJ53)</f>
        <v>0</v>
      </c>
      <c r="AK54" s="665"/>
      <c r="AL54" s="496">
        <f>SUM(AF54,AH54,AJ54)</f>
        <v>0</v>
      </c>
      <c r="AM54" s="497"/>
      <c r="AN54" s="496">
        <f t="shared" si="25"/>
        <v>252166622.96774194</v>
      </c>
      <c r="AO54" s="493"/>
      <c r="AP54" s="71"/>
      <c r="AQ54" s="28"/>
      <c r="AR54" s="28"/>
      <c r="AS54" s="28"/>
    </row>
    <row r="55" spans="2:45" s="10" customFormat="1" ht="18" customHeight="1" thickBot="1">
      <c r="B55" s="86"/>
      <c r="C55" s="781" t="s">
        <v>59</v>
      </c>
      <c r="D55" s="837" t="s">
        <v>655</v>
      </c>
      <c r="E55" s="836" t="s">
        <v>95</v>
      </c>
      <c r="F55" s="520" t="s">
        <v>96</v>
      </c>
      <c r="G55" s="100" t="s">
        <v>97</v>
      </c>
      <c r="H55" s="404">
        <f>495000/1.1</f>
        <v>449999.99999999994</v>
      </c>
      <c r="I55" s="409"/>
      <c r="J55" s="404">
        <f>495000/1.1</f>
        <v>449999.99999999994</v>
      </c>
      <c r="K55" s="409"/>
      <c r="L55" s="404">
        <v>449999.99999999994</v>
      </c>
      <c r="M55" s="663"/>
      <c r="N55" s="408">
        <f>SUM(H55,J55,L55)</f>
        <v>1349999.9999999998</v>
      </c>
      <c r="O55" s="410"/>
      <c r="P55" s="404">
        <v>449999.99999999994</v>
      </c>
      <c r="Q55" s="409"/>
      <c r="R55" s="404">
        <v>450000</v>
      </c>
      <c r="S55" s="409"/>
      <c r="T55" s="404"/>
      <c r="U55" s="663"/>
      <c r="V55" s="408">
        <f t="shared" ref="V55:V77" si="27">SUM(P55,R55,T55)</f>
        <v>900000</v>
      </c>
      <c r="W55" s="410"/>
      <c r="X55" s="404"/>
      <c r="Y55" s="409"/>
      <c r="Z55" s="404"/>
      <c r="AA55" s="409"/>
      <c r="AB55" s="404"/>
      <c r="AC55" s="663"/>
      <c r="AD55" s="408">
        <f t="shared" ref="AD55:AD78" si="28">SUM(X55,Z55,AB55)</f>
        <v>0</v>
      </c>
      <c r="AE55" s="410"/>
      <c r="AF55" s="404"/>
      <c r="AG55" s="409"/>
      <c r="AH55" s="404"/>
      <c r="AI55" s="409"/>
      <c r="AJ55" s="404"/>
      <c r="AK55" s="663"/>
      <c r="AL55" s="408">
        <f t="shared" ref="AL55:AL81" si="29">SUM(AF55,AH55,AJ55)</f>
        <v>0</v>
      </c>
      <c r="AM55" s="410"/>
      <c r="AN55" s="589">
        <f t="shared" si="25"/>
        <v>2250000</v>
      </c>
      <c r="AO55" s="40"/>
      <c r="AP55" s="28" t="s">
        <v>98</v>
      </c>
      <c r="AQ55" s="28"/>
      <c r="AR55" s="28"/>
      <c r="AS55" s="28"/>
    </row>
    <row r="56" spans="2:45" s="10" customFormat="1" ht="18" customHeight="1" thickBot="1">
      <c r="B56" s="86"/>
      <c r="C56" s="781" t="s">
        <v>59</v>
      </c>
      <c r="D56" s="837" t="s">
        <v>655</v>
      </c>
      <c r="E56" s="837" t="s">
        <v>95</v>
      </c>
      <c r="F56" s="521" t="s">
        <v>610</v>
      </c>
      <c r="G56" s="777" t="s">
        <v>611</v>
      </c>
      <c r="H56" s="404">
        <v>0</v>
      </c>
      <c r="I56" s="409"/>
      <c r="J56" s="404">
        <v>0</v>
      </c>
      <c r="K56" s="409"/>
      <c r="L56" s="404">
        <v>1045000</v>
      </c>
      <c r="M56" s="663"/>
      <c r="N56" s="408">
        <f>SUM(H56,J56,L56)</f>
        <v>1045000</v>
      </c>
      <c r="O56" s="410"/>
      <c r="P56" s="404">
        <v>2640000</v>
      </c>
      <c r="Q56" s="409"/>
      <c r="R56" s="404">
        <v>220000</v>
      </c>
      <c r="S56" s="409"/>
      <c r="T56" s="404"/>
      <c r="U56" s="663"/>
      <c r="V56" s="408"/>
      <c r="W56" s="410"/>
      <c r="X56" s="404"/>
      <c r="Y56" s="409"/>
      <c r="Z56" s="404"/>
      <c r="AA56" s="409"/>
      <c r="AB56" s="404"/>
      <c r="AC56" s="663"/>
      <c r="AD56" s="408"/>
      <c r="AE56" s="410"/>
      <c r="AF56" s="404"/>
      <c r="AG56" s="409"/>
      <c r="AH56" s="404"/>
      <c r="AI56" s="409"/>
      <c r="AJ56" s="404"/>
      <c r="AK56" s="663"/>
      <c r="AL56" s="408"/>
      <c r="AM56" s="410"/>
      <c r="AN56" s="589">
        <f t="shared" si="25"/>
        <v>1045000</v>
      </c>
      <c r="AO56" s="40"/>
      <c r="AP56" s="28" t="s">
        <v>98</v>
      </c>
      <c r="AQ56" s="28"/>
      <c r="AR56" s="28"/>
      <c r="AS56" s="28"/>
    </row>
    <row r="57" spans="2:45" s="10" customFormat="1" ht="18" customHeight="1" thickBot="1">
      <c r="B57" s="86"/>
      <c r="C57" s="781" t="s">
        <v>59</v>
      </c>
      <c r="D57" s="837" t="s">
        <v>655</v>
      </c>
      <c r="E57" s="837" t="s">
        <v>95</v>
      </c>
      <c r="F57" s="835" t="s">
        <v>100</v>
      </c>
      <c r="G57" s="490" t="s">
        <v>101</v>
      </c>
      <c r="H57" s="402">
        <v>110000</v>
      </c>
      <c r="I57" s="405"/>
      <c r="J57" s="402">
        <v>220000</v>
      </c>
      <c r="K57" s="405"/>
      <c r="L57" s="402">
        <v>330000</v>
      </c>
      <c r="M57" s="662"/>
      <c r="N57" s="406">
        <f>SUM(H57,J57,L57)</f>
        <v>660000</v>
      </c>
      <c r="O57" s="407"/>
      <c r="P57" s="402">
        <v>0</v>
      </c>
      <c r="Q57" s="405"/>
      <c r="R57" s="402">
        <v>0</v>
      </c>
      <c r="S57" s="405"/>
      <c r="T57" s="402"/>
      <c r="U57" s="662"/>
      <c r="V57" s="408">
        <f t="shared" si="27"/>
        <v>0</v>
      </c>
      <c r="W57" s="407"/>
      <c r="X57" s="402"/>
      <c r="Y57" s="405"/>
      <c r="Z57" s="402"/>
      <c r="AA57" s="405"/>
      <c r="AB57" s="402"/>
      <c r="AC57" s="662"/>
      <c r="AD57" s="406">
        <f t="shared" si="28"/>
        <v>0</v>
      </c>
      <c r="AE57" s="407"/>
      <c r="AF57" s="402"/>
      <c r="AG57" s="405"/>
      <c r="AH57" s="402"/>
      <c r="AI57" s="405"/>
      <c r="AJ57" s="402"/>
      <c r="AK57" s="662"/>
      <c r="AL57" s="406">
        <f t="shared" si="29"/>
        <v>0</v>
      </c>
      <c r="AM57" s="407"/>
      <c r="AN57" s="584">
        <f t="shared" si="25"/>
        <v>660000</v>
      </c>
      <c r="AO57" s="40"/>
      <c r="AP57" s="28" t="s">
        <v>98</v>
      </c>
      <c r="AQ57" s="28"/>
      <c r="AR57" s="28"/>
      <c r="AS57" s="28"/>
    </row>
    <row r="58" spans="2:45" s="10" customFormat="1" ht="18" customHeight="1" thickBot="1">
      <c r="B58" s="86"/>
      <c r="C58" s="781" t="s">
        <v>59</v>
      </c>
      <c r="D58" s="828" t="s">
        <v>655</v>
      </c>
      <c r="E58" s="828" t="s">
        <v>102</v>
      </c>
      <c r="F58" s="834" t="s">
        <v>92</v>
      </c>
      <c r="G58" s="490" t="s">
        <v>93</v>
      </c>
      <c r="H58" s="402">
        <v>465350</v>
      </c>
      <c r="I58" s="405"/>
      <c r="J58" s="402">
        <v>465350</v>
      </c>
      <c r="K58" s="405"/>
      <c r="L58" s="402">
        <v>465350</v>
      </c>
      <c r="M58" s="662"/>
      <c r="N58" s="406">
        <f>SUM(H58,J58,L58)</f>
        <v>1396050</v>
      </c>
      <c r="O58" s="407"/>
      <c r="P58" s="402">
        <v>465350</v>
      </c>
      <c r="Q58" s="405"/>
      <c r="R58" s="402">
        <v>465350</v>
      </c>
      <c r="S58" s="405"/>
      <c r="T58" s="402"/>
      <c r="U58" s="662"/>
      <c r="V58" s="408">
        <f>SUM(P58,R58,T58)</f>
        <v>930700</v>
      </c>
      <c r="W58" s="407"/>
      <c r="X58" s="402"/>
      <c r="Y58" s="405"/>
      <c r="Z58" s="402"/>
      <c r="AA58" s="405"/>
      <c r="AB58" s="402"/>
      <c r="AC58" s="662"/>
      <c r="AD58" s="406">
        <f>SUM(X58,Z58,AB58)</f>
        <v>0</v>
      </c>
      <c r="AE58" s="407"/>
      <c r="AF58" s="402"/>
      <c r="AG58" s="405"/>
      <c r="AH58" s="402"/>
      <c r="AI58" s="405"/>
      <c r="AJ58" s="402"/>
      <c r="AK58" s="662"/>
      <c r="AL58" s="406">
        <f>SUM(AF58,AH58,AJ58)</f>
        <v>0</v>
      </c>
      <c r="AM58" s="407"/>
      <c r="AN58" s="584">
        <f>SUM(N58+V58+AD58+AL58)</f>
        <v>2326750</v>
      </c>
      <c r="AO58" s="40"/>
      <c r="AP58" s="28" t="s">
        <v>94</v>
      </c>
      <c r="AQ58" s="28"/>
      <c r="AR58" s="28"/>
      <c r="AS58" s="28"/>
    </row>
    <row r="59" spans="2:45" s="10" customFormat="1" ht="18" customHeight="1" thickBot="1">
      <c r="B59" s="86"/>
      <c r="C59" s="781" t="s">
        <v>59</v>
      </c>
      <c r="D59" s="1141" t="s">
        <v>496</v>
      </c>
      <c r="E59" s="1142"/>
      <c r="F59" s="1142"/>
      <c r="G59" s="1143"/>
      <c r="H59" s="523">
        <f>SUM(H55:H58)</f>
        <v>1025350</v>
      </c>
      <c r="I59" s="524"/>
      <c r="J59" s="523">
        <f>SUM(J55:J58)</f>
        <v>1135350</v>
      </c>
      <c r="K59" s="524"/>
      <c r="L59" s="523">
        <f>SUM(L55:L58)</f>
        <v>2290350</v>
      </c>
      <c r="M59" s="666"/>
      <c r="N59" s="525">
        <f>SUM(H59,J59,L59)</f>
        <v>4451050</v>
      </c>
      <c r="O59" s="526"/>
      <c r="P59" s="523">
        <f>SUM(P55:P58)</f>
        <v>3555350</v>
      </c>
      <c r="Q59" s="524"/>
      <c r="R59" s="523">
        <f>SUM(R55:R58)</f>
        <v>1135350</v>
      </c>
      <c r="S59" s="524"/>
      <c r="T59" s="523">
        <f>SUM(T55:T58)</f>
        <v>0</v>
      </c>
      <c r="U59" s="666"/>
      <c r="V59" s="527">
        <f>SUM(P59,R59,T59)</f>
        <v>4690700</v>
      </c>
      <c r="W59" s="526"/>
      <c r="X59" s="523">
        <f>SUM(X55:X58)</f>
        <v>0</v>
      </c>
      <c r="Y59" s="524"/>
      <c r="Z59" s="523">
        <f>SUM(Z55:Z58)</f>
        <v>0</v>
      </c>
      <c r="AA59" s="524"/>
      <c r="AB59" s="523">
        <f>SUM(AB55:AB58)</f>
        <v>0</v>
      </c>
      <c r="AC59" s="666"/>
      <c r="AD59" s="525">
        <f>SUM(X59,Z59,AB59)</f>
        <v>0</v>
      </c>
      <c r="AE59" s="526"/>
      <c r="AF59" s="523">
        <f>SUM(AF55:AF58)</f>
        <v>0</v>
      </c>
      <c r="AG59" s="524"/>
      <c r="AH59" s="523">
        <f>SUM(AH55:AH58)</f>
        <v>0</v>
      </c>
      <c r="AI59" s="524"/>
      <c r="AJ59" s="523">
        <f>SUM(AJ55:AJ58)</f>
        <v>0</v>
      </c>
      <c r="AK59" s="666"/>
      <c r="AL59" s="525">
        <f>SUM(AF59,AH59,AJ59)</f>
        <v>0</v>
      </c>
      <c r="AM59" s="526"/>
      <c r="AN59" s="525">
        <f t="shared" si="25"/>
        <v>9141750</v>
      </c>
      <c r="AO59" s="528"/>
      <c r="AP59" s="28"/>
      <c r="AQ59" s="28"/>
      <c r="AR59" s="28"/>
      <c r="AS59" s="28"/>
    </row>
    <row r="60" spans="2:45" s="10" customFormat="1" ht="18" customHeight="1" thickBot="1">
      <c r="B60" s="86"/>
      <c r="C60" s="781" t="s">
        <v>59</v>
      </c>
      <c r="D60" s="103" t="s">
        <v>59</v>
      </c>
      <c r="E60" s="103" t="s">
        <v>112</v>
      </c>
      <c r="F60" s="103" t="s">
        <v>113</v>
      </c>
      <c r="G60" s="490" t="s">
        <v>114</v>
      </c>
      <c r="H60" s="403">
        <v>173900</v>
      </c>
      <c r="I60" s="405"/>
      <c r="J60" s="403">
        <v>173900</v>
      </c>
      <c r="K60" s="405"/>
      <c r="L60" s="403">
        <v>173900</v>
      </c>
      <c r="M60" s="662"/>
      <c r="N60" s="406">
        <f t="shared" ref="N60:N62" si="30">SUM(H60,J60,L60)</f>
        <v>521700</v>
      </c>
      <c r="O60" s="407"/>
      <c r="P60" s="403">
        <v>173900</v>
      </c>
      <c r="Q60" s="405"/>
      <c r="R60" s="403">
        <v>173900</v>
      </c>
      <c r="S60" s="405"/>
      <c r="T60" s="403"/>
      <c r="U60" s="662"/>
      <c r="V60" s="406">
        <f t="shared" si="27"/>
        <v>347800</v>
      </c>
      <c r="W60" s="407"/>
      <c r="X60" s="403"/>
      <c r="Y60" s="405"/>
      <c r="Z60" s="403"/>
      <c r="AA60" s="405"/>
      <c r="AB60" s="403"/>
      <c r="AC60" s="662"/>
      <c r="AD60" s="406">
        <f t="shared" si="28"/>
        <v>0</v>
      </c>
      <c r="AE60" s="407"/>
      <c r="AF60" s="403"/>
      <c r="AG60" s="405"/>
      <c r="AH60" s="403"/>
      <c r="AI60" s="405"/>
      <c r="AJ60" s="403"/>
      <c r="AK60" s="662"/>
      <c r="AL60" s="406">
        <f t="shared" si="29"/>
        <v>0</v>
      </c>
      <c r="AM60" s="407"/>
      <c r="AN60" s="584">
        <f t="shared" si="25"/>
        <v>869500</v>
      </c>
      <c r="AO60" s="40" t="s">
        <v>115</v>
      </c>
      <c r="AP60" s="28"/>
      <c r="AQ60" s="28"/>
      <c r="AR60" s="28"/>
      <c r="AS60" s="28"/>
    </row>
    <row r="61" spans="2:45" s="10" customFormat="1" ht="18" customHeight="1" thickBot="1">
      <c r="B61" s="86"/>
      <c r="C61" s="781" t="s">
        <v>59</v>
      </c>
      <c r="D61" s="1144" t="s">
        <v>497</v>
      </c>
      <c r="E61" s="1145"/>
      <c r="F61" s="1145"/>
      <c r="G61" s="1146"/>
      <c r="H61" s="529">
        <f>SUM(H60)</f>
        <v>173900</v>
      </c>
      <c r="I61" s="530"/>
      <c r="J61" s="529">
        <f>SUM(J60)</f>
        <v>173900</v>
      </c>
      <c r="K61" s="530"/>
      <c r="L61" s="529">
        <f>SUM(L60)</f>
        <v>173900</v>
      </c>
      <c r="M61" s="667"/>
      <c r="N61" s="531">
        <f t="shared" si="30"/>
        <v>521700</v>
      </c>
      <c r="O61" s="532"/>
      <c r="P61" s="529">
        <f>SUM(P60)</f>
        <v>173900</v>
      </c>
      <c r="Q61" s="530"/>
      <c r="R61" s="529">
        <f>SUM(R60)</f>
        <v>173900</v>
      </c>
      <c r="S61" s="530"/>
      <c r="T61" s="529">
        <f>SUM(T60)</f>
        <v>0</v>
      </c>
      <c r="U61" s="667"/>
      <c r="V61" s="531">
        <f t="shared" si="27"/>
        <v>347800</v>
      </c>
      <c r="W61" s="532"/>
      <c r="X61" s="529">
        <f>SUM(X60)</f>
        <v>0</v>
      </c>
      <c r="Y61" s="530"/>
      <c r="Z61" s="529">
        <f>SUM(Z60)</f>
        <v>0</v>
      </c>
      <c r="AA61" s="530"/>
      <c r="AB61" s="529">
        <f>SUM(AB60)</f>
        <v>0</v>
      </c>
      <c r="AC61" s="667"/>
      <c r="AD61" s="531">
        <f t="shared" si="28"/>
        <v>0</v>
      </c>
      <c r="AE61" s="532"/>
      <c r="AF61" s="529">
        <f>SUM(AF60)</f>
        <v>0</v>
      </c>
      <c r="AG61" s="530"/>
      <c r="AH61" s="529">
        <f>SUM(AH60)</f>
        <v>0</v>
      </c>
      <c r="AI61" s="530"/>
      <c r="AJ61" s="529">
        <f>SUM(AJ60)</f>
        <v>0</v>
      </c>
      <c r="AK61" s="667"/>
      <c r="AL61" s="531">
        <f t="shared" si="29"/>
        <v>0</v>
      </c>
      <c r="AM61" s="532"/>
      <c r="AN61" s="531">
        <f t="shared" si="25"/>
        <v>869500</v>
      </c>
      <c r="AO61" s="533"/>
      <c r="AP61" s="28"/>
      <c r="AQ61" s="28"/>
      <c r="AR61" s="28"/>
      <c r="AS61" s="28"/>
    </row>
    <row r="62" spans="2:45" s="10" customFormat="1" ht="18" customHeight="1" thickBot="1">
      <c r="B62" s="86"/>
      <c r="C62" s="781" t="s">
        <v>59</v>
      </c>
      <c r="D62" s="483" t="s">
        <v>59</v>
      </c>
      <c r="E62" s="483" t="s">
        <v>488</v>
      </c>
      <c r="F62" s="483" t="s">
        <v>489</v>
      </c>
      <c r="G62" s="488" t="s">
        <v>489</v>
      </c>
      <c r="H62" s="403">
        <v>0</v>
      </c>
      <c r="I62" s="405"/>
      <c r="J62" s="403">
        <f>90300+90300+82560+755200+129000+123840</f>
        <v>1271200</v>
      </c>
      <c r="K62" s="405"/>
      <c r="L62" s="403">
        <v>2595480</v>
      </c>
      <c r="M62" s="662"/>
      <c r="N62" s="406">
        <f t="shared" si="30"/>
        <v>3866680</v>
      </c>
      <c r="O62" s="407"/>
      <c r="P62" s="403">
        <v>0</v>
      </c>
      <c r="Q62" s="405"/>
      <c r="R62" s="403">
        <v>0</v>
      </c>
      <c r="S62" s="405"/>
      <c r="T62" s="403"/>
      <c r="U62" s="662"/>
      <c r="V62" s="406">
        <f t="shared" si="27"/>
        <v>0</v>
      </c>
      <c r="W62" s="407"/>
      <c r="X62" s="403"/>
      <c r="Y62" s="405"/>
      <c r="Z62" s="403"/>
      <c r="AA62" s="405"/>
      <c r="AB62" s="403"/>
      <c r="AC62" s="662"/>
      <c r="AD62" s="406">
        <f t="shared" si="28"/>
        <v>0</v>
      </c>
      <c r="AE62" s="407"/>
      <c r="AF62" s="403"/>
      <c r="AG62" s="405"/>
      <c r="AH62" s="403"/>
      <c r="AI62" s="405"/>
      <c r="AJ62" s="403"/>
      <c r="AK62" s="662"/>
      <c r="AL62" s="406">
        <f t="shared" si="29"/>
        <v>0</v>
      </c>
      <c r="AM62" s="407"/>
      <c r="AN62" s="584">
        <f t="shared" si="25"/>
        <v>3866680</v>
      </c>
      <c r="AO62" s="40"/>
      <c r="AP62" s="28"/>
      <c r="AQ62" s="28"/>
      <c r="AR62" s="28"/>
      <c r="AS62" s="28"/>
    </row>
    <row r="63" spans="2:45" s="10" customFormat="1" ht="18" customHeight="1" thickBot="1">
      <c r="B63" s="86"/>
      <c r="C63" s="781" t="s">
        <v>59</v>
      </c>
      <c r="D63" s="1135" t="s">
        <v>498</v>
      </c>
      <c r="E63" s="1136"/>
      <c r="F63" s="1136"/>
      <c r="G63" s="1137"/>
      <c r="H63" s="484">
        <f>SUM(H62)</f>
        <v>0</v>
      </c>
      <c r="I63" s="485"/>
      <c r="J63" s="484">
        <f>SUM(J62)</f>
        <v>1271200</v>
      </c>
      <c r="K63" s="485"/>
      <c r="L63" s="484">
        <f>SUM(L62)</f>
        <v>2595480</v>
      </c>
      <c r="M63" s="668"/>
      <c r="N63" s="486">
        <f t="shared" ref="N63:N68" si="31">SUM(H63,J63,L63)</f>
        <v>3866680</v>
      </c>
      <c r="O63" s="487"/>
      <c r="P63" s="484">
        <f>SUM(P62)</f>
        <v>0</v>
      </c>
      <c r="Q63" s="485"/>
      <c r="R63" s="484">
        <f>SUM(R62)</f>
        <v>0</v>
      </c>
      <c r="S63" s="485"/>
      <c r="T63" s="484">
        <f>SUM(T62)</f>
        <v>0</v>
      </c>
      <c r="U63" s="668"/>
      <c r="V63" s="486">
        <f t="shared" si="27"/>
        <v>0</v>
      </c>
      <c r="W63" s="487"/>
      <c r="X63" s="484">
        <f>SUM(X62)</f>
        <v>0</v>
      </c>
      <c r="Y63" s="485"/>
      <c r="Z63" s="484">
        <f>SUM(Z62)</f>
        <v>0</v>
      </c>
      <c r="AA63" s="485"/>
      <c r="AB63" s="484">
        <f>SUM(AB62)</f>
        <v>0</v>
      </c>
      <c r="AC63" s="668"/>
      <c r="AD63" s="486">
        <f t="shared" si="28"/>
        <v>0</v>
      </c>
      <c r="AE63" s="487"/>
      <c r="AF63" s="484">
        <f>SUM(AF62)</f>
        <v>0</v>
      </c>
      <c r="AG63" s="485"/>
      <c r="AH63" s="484">
        <f>SUM(AH62)</f>
        <v>0</v>
      </c>
      <c r="AI63" s="485"/>
      <c r="AJ63" s="484">
        <f>SUM(AJ62)</f>
        <v>0</v>
      </c>
      <c r="AK63" s="668"/>
      <c r="AL63" s="486">
        <f t="shared" si="29"/>
        <v>0</v>
      </c>
      <c r="AM63" s="487"/>
      <c r="AN63" s="486">
        <f t="shared" si="25"/>
        <v>3866680</v>
      </c>
      <c r="AO63" s="492"/>
      <c r="AP63" s="28"/>
      <c r="AQ63" s="28"/>
      <c r="AR63" s="28"/>
      <c r="AS63" s="28"/>
    </row>
    <row r="64" spans="2:45" s="10" customFormat="1" ht="18" customHeight="1" thickBot="1">
      <c r="B64" s="86"/>
      <c r="C64" s="781" t="s">
        <v>59</v>
      </c>
      <c r="D64" s="471" t="s">
        <v>59</v>
      </c>
      <c r="E64" s="471" t="s">
        <v>105</v>
      </c>
      <c r="F64" s="857" t="s">
        <v>106</v>
      </c>
      <c r="G64" s="88" t="s">
        <v>594</v>
      </c>
      <c r="H64" s="134">
        <v>713285</v>
      </c>
      <c r="I64" s="405"/>
      <c r="J64" s="403">
        <v>760055</v>
      </c>
      <c r="K64" s="405"/>
      <c r="L64" s="134">
        <v>692895</v>
      </c>
      <c r="M64" s="662"/>
      <c r="N64" s="406">
        <f t="shared" si="31"/>
        <v>2166235</v>
      </c>
      <c r="O64" s="407"/>
      <c r="P64" s="403">
        <v>1341020</v>
      </c>
      <c r="Q64" s="405"/>
      <c r="R64" s="403">
        <v>796645</v>
      </c>
      <c r="S64" s="405"/>
      <c r="T64" s="403"/>
      <c r="U64" s="662"/>
      <c r="V64" s="408">
        <f>SUM(P64,R64,T64)</f>
        <v>2137665</v>
      </c>
      <c r="W64" s="407"/>
      <c r="X64" s="403"/>
      <c r="Y64" s="405"/>
      <c r="Z64" s="403"/>
      <c r="AA64" s="405"/>
      <c r="AB64" s="403"/>
      <c r="AC64" s="662"/>
      <c r="AD64" s="406">
        <f>SUM(X64,Z64,AB64)</f>
        <v>0</v>
      </c>
      <c r="AE64" s="407"/>
      <c r="AF64" s="403"/>
      <c r="AG64" s="405"/>
      <c r="AH64" s="403"/>
      <c r="AI64" s="405"/>
      <c r="AJ64" s="403"/>
      <c r="AK64" s="662"/>
      <c r="AL64" s="406">
        <f>SUM(AF64,AH64,AJ64)</f>
        <v>0</v>
      </c>
      <c r="AM64" s="407"/>
      <c r="AN64" s="584">
        <f>SUM(N64+V64+AD64+AL64)</f>
        <v>4303900</v>
      </c>
      <c r="AO64" s="40"/>
      <c r="AP64" s="28"/>
      <c r="AQ64" s="28"/>
      <c r="AR64" s="28"/>
      <c r="AS64" s="28"/>
    </row>
    <row r="65" spans="2:46" s="10" customFormat="1" ht="18" customHeight="1" thickBot="1">
      <c r="B65" s="86"/>
      <c r="C65" s="781" t="s">
        <v>59</v>
      </c>
      <c r="D65" s="831" t="s">
        <v>59</v>
      </c>
      <c r="E65" s="831" t="s">
        <v>654</v>
      </c>
      <c r="F65" s="858" t="s">
        <v>103</v>
      </c>
      <c r="G65" s="88" t="s">
        <v>104</v>
      </c>
      <c r="H65" s="134">
        <v>896120</v>
      </c>
      <c r="I65" s="405"/>
      <c r="J65" s="403">
        <v>896120</v>
      </c>
      <c r="K65" s="405"/>
      <c r="L65" s="134">
        <v>801510</v>
      </c>
      <c r="M65" s="662"/>
      <c r="N65" s="406">
        <f t="shared" si="31"/>
        <v>2593750</v>
      </c>
      <c r="O65" s="407"/>
      <c r="P65" s="403">
        <v>991880</v>
      </c>
      <c r="Q65" s="405"/>
      <c r="R65" s="403">
        <v>971790</v>
      </c>
      <c r="S65" s="405"/>
      <c r="T65" s="403"/>
      <c r="U65" s="662"/>
      <c r="V65" s="408">
        <f>SUM(P65,R65,T65)</f>
        <v>1963670</v>
      </c>
      <c r="W65" s="407"/>
      <c r="X65" s="403"/>
      <c r="Y65" s="405"/>
      <c r="Z65" s="403"/>
      <c r="AA65" s="405"/>
      <c r="AB65" s="403"/>
      <c r="AC65" s="662"/>
      <c r="AD65" s="406">
        <f>SUM(X65,Z65,AB65)</f>
        <v>0</v>
      </c>
      <c r="AE65" s="407"/>
      <c r="AF65" s="403"/>
      <c r="AG65" s="405"/>
      <c r="AH65" s="403"/>
      <c r="AI65" s="405"/>
      <c r="AJ65" s="403"/>
      <c r="AK65" s="662"/>
      <c r="AL65" s="406">
        <f>SUM(AF65,AH65,AJ65)</f>
        <v>0</v>
      </c>
      <c r="AM65" s="407"/>
      <c r="AN65" s="584">
        <f>SUM(N65+V65+AD65+AL65)</f>
        <v>4557420</v>
      </c>
      <c r="AO65" s="40"/>
      <c r="AP65" s="28"/>
      <c r="AQ65" s="28"/>
      <c r="AR65" s="28"/>
      <c r="AS65" s="28"/>
    </row>
    <row r="66" spans="2:46" s="10" customFormat="1" ht="18" customHeight="1" thickBot="1">
      <c r="B66" s="86"/>
      <c r="C66" s="781" t="s">
        <v>59</v>
      </c>
      <c r="D66" s="859" t="s">
        <v>59</v>
      </c>
      <c r="E66" s="859" t="s">
        <v>107</v>
      </c>
      <c r="F66" s="859" t="s">
        <v>108</v>
      </c>
      <c r="G66" s="88" t="s">
        <v>109</v>
      </c>
      <c r="H66" s="134">
        <v>240630</v>
      </c>
      <c r="I66" s="405"/>
      <c r="J66" s="403">
        <v>260060</v>
      </c>
      <c r="K66" s="405"/>
      <c r="L66" s="134">
        <v>237045</v>
      </c>
      <c r="M66" s="662"/>
      <c r="N66" s="406">
        <f t="shared" si="31"/>
        <v>737735</v>
      </c>
      <c r="O66" s="407"/>
      <c r="P66" s="403">
        <v>294965</v>
      </c>
      <c r="Q66" s="405"/>
      <c r="R66" s="403">
        <v>249860</v>
      </c>
      <c r="S66" s="405"/>
      <c r="T66" s="403"/>
      <c r="U66" s="662"/>
      <c r="V66" s="408">
        <f>SUM(P66,R66,T66)</f>
        <v>544825</v>
      </c>
      <c r="W66" s="407"/>
      <c r="X66" s="403"/>
      <c r="Y66" s="405"/>
      <c r="Z66" s="403"/>
      <c r="AA66" s="405"/>
      <c r="AB66" s="403"/>
      <c r="AC66" s="662"/>
      <c r="AD66" s="406">
        <f>SUM(X66,Z66,AB66)</f>
        <v>0</v>
      </c>
      <c r="AE66" s="407"/>
      <c r="AF66" s="403"/>
      <c r="AG66" s="405"/>
      <c r="AH66" s="403"/>
      <c r="AI66" s="405"/>
      <c r="AJ66" s="403"/>
      <c r="AK66" s="662"/>
      <c r="AL66" s="406">
        <f>SUM(AF66,AH66,AJ66)</f>
        <v>0</v>
      </c>
      <c r="AM66" s="407"/>
      <c r="AN66" s="584">
        <f>SUM(N66+V66+AD66+AL66)</f>
        <v>1282560</v>
      </c>
      <c r="AO66" s="40"/>
      <c r="AP66" s="28"/>
      <c r="AQ66" s="28"/>
      <c r="AR66" s="28"/>
      <c r="AS66" s="28"/>
    </row>
    <row r="67" spans="2:46" s="10" customFormat="1" ht="18" customHeight="1">
      <c r="B67" s="86"/>
      <c r="C67" s="781" t="s">
        <v>59</v>
      </c>
      <c r="D67" s="832" t="s">
        <v>59</v>
      </c>
      <c r="E67" s="832" t="s">
        <v>107</v>
      </c>
      <c r="F67" s="859" t="s">
        <v>110</v>
      </c>
      <c r="G67" s="88" t="s">
        <v>111</v>
      </c>
      <c r="H67" s="134">
        <v>340090</v>
      </c>
      <c r="I67" s="405"/>
      <c r="J67" s="403">
        <v>362070</v>
      </c>
      <c r="K67" s="405"/>
      <c r="L67" s="134">
        <v>342520</v>
      </c>
      <c r="M67" s="662"/>
      <c r="N67" s="406">
        <f t="shared" si="31"/>
        <v>1044680</v>
      </c>
      <c r="O67" s="407"/>
      <c r="P67" s="403">
        <v>395790</v>
      </c>
      <c r="Q67" s="405"/>
      <c r="R67" s="403">
        <v>375690</v>
      </c>
      <c r="S67" s="405"/>
      <c r="T67" s="403"/>
      <c r="U67" s="662"/>
      <c r="V67" s="406">
        <f>SUM(P67,R67,T67)</f>
        <v>771480</v>
      </c>
      <c r="W67" s="407"/>
      <c r="X67" s="403"/>
      <c r="Y67" s="405"/>
      <c r="Z67" s="403"/>
      <c r="AA67" s="405"/>
      <c r="AB67" s="403"/>
      <c r="AC67" s="662"/>
      <c r="AD67" s="406">
        <f>SUM(X67,Z67,AB67)</f>
        <v>0</v>
      </c>
      <c r="AE67" s="407"/>
      <c r="AF67" s="403"/>
      <c r="AG67" s="405"/>
      <c r="AH67" s="403"/>
      <c r="AI67" s="405"/>
      <c r="AJ67" s="403"/>
      <c r="AK67" s="662"/>
      <c r="AL67" s="406">
        <f>SUM(AF67,AH67,AJ67)</f>
        <v>0</v>
      </c>
      <c r="AM67" s="407"/>
      <c r="AN67" s="584">
        <f>SUM(N67+V67+AD67+AL67)</f>
        <v>1816160</v>
      </c>
      <c r="AO67" s="40"/>
      <c r="AP67" s="28"/>
      <c r="AQ67" s="28"/>
      <c r="AR67" s="28"/>
      <c r="AS67" s="28"/>
    </row>
    <row r="68" spans="2:46" s="10" customFormat="1" ht="18" customHeight="1" thickBot="1">
      <c r="B68" s="86"/>
      <c r="C68" s="783"/>
      <c r="D68" s="1130" t="s">
        <v>653</v>
      </c>
      <c r="E68" s="1131"/>
      <c r="F68" s="1131"/>
      <c r="G68" s="1132"/>
      <c r="H68" s="842">
        <f>SUM(H64:H67)</f>
        <v>2190125</v>
      </c>
      <c r="I68" s="843"/>
      <c r="J68" s="842">
        <f>SUM(J64:J67)</f>
        <v>2278305</v>
      </c>
      <c r="K68" s="843"/>
      <c r="L68" s="842">
        <f>SUM(L64:L67)</f>
        <v>2073970</v>
      </c>
      <c r="M68" s="844"/>
      <c r="N68" s="845">
        <f t="shared" si="31"/>
        <v>6542400</v>
      </c>
      <c r="O68" s="846"/>
      <c r="P68" s="842">
        <f>SUM(P64:P67)</f>
        <v>3023655</v>
      </c>
      <c r="Q68" s="843"/>
      <c r="R68" s="842">
        <f>SUM(R64:R67)</f>
        <v>2393985</v>
      </c>
      <c r="S68" s="843"/>
      <c r="T68" s="842">
        <f>SUM(T64:T67)</f>
        <v>0</v>
      </c>
      <c r="U68" s="844"/>
      <c r="V68" s="845">
        <f t="shared" ref="V68" si="32">SUM(P68,R68,T68)</f>
        <v>5417640</v>
      </c>
      <c r="W68" s="846"/>
      <c r="X68" s="842">
        <f>SUM(X64:X67)</f>
        <v>0</v>
      </c>
      <c r="Y68" s="843"/>
      <c r="Z68" s="842">
        <f>SUM(Z64:Z67)</f>
        <v>0</v>
      </c>
      <c r="AA68" s="843"/>
      <c r="AB68" s="842">
        <f>SUM(AB64:AB67)</f>
        <v>0</v>
      </c>
      <c r="AC68" s="844"/>
      <c r="AD68" s="845">
        <f t="shared" ref="AD68" si="33">SUM(X68,Z68,AB68)</f>
        <v>0</v>
      </c>
      <c r="AE68" s="846"/>
      <c r="AF68" s="842">
        <f>SUM(AF64:AF67)</f>
        <v>0</v>
      </c>
      <c r="AG68" s="843"/>
      <c r="AH68" s="842">
        <f>SUM(AH64:AH67)</f>
        <v>0</v>
      </c>
      <c r="AI68" s="843"/>
      <c r="AJ68" s="842">
        <f>SUM(AJ64:AJ67)</f>
        <v>0</v>
      </c>
      <c r="AK68" s="844"/>
      <c r="AL68" s="845">
        <f t="shared" ref="AL68" si="34">SUM(AF68,AH68,AJ68)</f>
        <v>0</v>
      </c>
      <c r="AM68" s="846"/>
      <c r="AN68" s="845">
        <f t="shared" ref="AN68" si="35">SUM(N68+V68+AD68+AL68)</f>
        <v>11960040</v>
      </c>
      <c r="AO68" s="559"/>
      <c r="AP68" s="28"/>
      <c r="AQ68" s="28"/>
      <c r="AR68" s="28"/>
      <c r="AS68" s="28"/>
    </row>
    <row r="69" spans="2:46" s="10" customFormat="1" ht="20" customHeight="1" thickBot="1">
      <c r="B69" s="1044" t="s">
        <v>120</v>
      </c>
      <c r="C69" s="1045"/>
      <c r="D69" s="1045"/>
      <c r="E69" s="1045"/>
      <c r="F69" s="1045"/>
      <c r="G69" s="1046"/>
      <c r="H69" s="108">
        <f>SUM(H54,H59,H61,H63,H68)</f>
        <v>56157212.967741936</v>
      </c>
      <c r="I69" s="112">
        <f>H69/H$27</f>
        <v>0.66200525860247195</v>
      </c>
      <c r="J69" s="108">
        <f>SUM(J54,J59,J61,J63,J68)</f>
        <v>51376115</v>
      </c>
      <c r="K69" s="112">
        <f>J69/J$27</f>
        <v>0.69650606140852001</v>
      </c>
      <c r="L69" s="109">
        <f>SUM(L54,L59,L61,L63,L68)</f>
        <v>57355710</v>
      </c>
      <c r="M69" s="112">
        <f>L69/L$27</f>
        <v>0.56419164840062874</v>
      </c>
      <c r="N69" s="110">
        <f t="shared" ref="N69" si="36">SUM(H69,J69,L69)</f>
        <v>164889037.96774194</v>
      </c>
      <c r="O69" s="111">
        <f>N69/$N$27</f>
        <v>0.63357561244115257</v>
      </c>
      <c r="P69" s="109">
        <f>SUM(P54,P59,P61,P63,P68)</f>
        <v>59001980</v>
      </c>
      <c r="Q69" s="112">
        <f>P69/P$27</f>
        <v>0.57800146184399481</v>
      </c>
      <c r="R69" s="109">
        <f>SUM(R54,R59,R61,R63,R68)</f>
        <v>54113575</v>
      </c>
      <c r="S69" s="112">
        <f>R69/R$27</f>
        <v>0.58743585827219724</v>
      </c>
      <c r="T69" s="109">
        <f>SUM(T54,T59,T61,T63,T68)</f>
        <v>0</v>
      </c>
      <c r="U69" s="112" t="e">
        <f>T69/T$27</f>
        <v>#DIV/0!</v>
      </c>
      <c r="V69" s="110">
        <f t="shared" ref="V69" si="37">SUM(P69,R69,T69)</f>
        <v>113115555</v>
      </c>
      <c r="W69" s="111">
        <f>V69/$V$27</f>
        <v>0.58247669968173954</v>
      </c>
      <c r="X69" s="109">
        <f>SUM(X54,X59,X61,X63,X68)</f>
        <v>0</v>
      </c>
      <c r="Y69" s="112" t="e">
        <f>X69/X$27</f>
        <v>#DIV/0!</v>
      </c>
      <c r="Z69" s="109">
        <f>SUM(Z54,Z59,Z61,Z63,Z68)</f>
        <v>0</v>
      </c>
      <c r="AA69" s="112" t="e">
        <f>Z69/Z$27</f>
        <v>#DIV/0!</v>
      </c>
      <c r="AB69" s="109">
        <f>SUM(AB54,AB59,AB61,AB63,AB68)</f>
        <v>0</v>
      </c>
      <c r="AC69" s="112" t="e">
        <f>AB69/AB$27</f>
        <v>#DIV/0!</v>
      </c>
      <c r="AD69" s="110">
        <f t="shared" ref="AD69" si="38">SUM(X69,Z69,AB69)</f>
        <v>0</v>
      </c>
      <c r="AE69" s="111">
        <f>AD69/$V$27</f>
        <v>0</v>
      </c>
      <c r="AF69" s="109">
        <f>SUM(AF54,AF59,AF61,AF63,AF68)</f>
        <v>0</v>
      </c>
      <c r="AG69" s="112" t="e">
        <f>AF69/AF$27</f>
        <v>#DIV/0!</v>
      </c>
      <c r="AH69" s="109">
        <f>SUM(AH54,AH59,AH61,AH63,AH68)</f>
        <v>0</v>
      </c>
      <c r="AI69" s="112" t="e">
        <f>AH69/AH$27</f>
        <v>#DIV/0!</v>
      </c>
      <c r="AJ69" s="109">
        <f>SUM(AJ54,AJ59,AJ61,AJ63,AJ68)</f>
        <v>0</v>
      </c>
      <c r="AK69" s="112" t="e">
        <f>AJ69/AJ$27</f>
        <v>#DIV/0!</v>
      </c>
      <c r="AL69" s="110">
        <f t="shared" ref="AL69" si="39">SUM(AF69,AH69,AJ69)</f>
        <v>0</v>
      </c>
      <c r="AM69" s="111">
        <f>AL69/$V$27</f>
        <v>0</v>
      </c>
      <c r="AN69" s="110">
        <f t="shared" si="25"/>
        <v>278004592.96774197</v>
      </c>
      <c r="AO69" s="113">
        <f>AN69/AN$27</f>
        <v>0.61173975905158562</v>
      </c>
      <c r="AP69" s="4" t="s">
        <v>121</v>
      </c>
      <c r="AQ69" s="28"/>
      <c r="AR69" s="28"/>
      <c r="AS69" s="28"/>
      <c r="AT69" s="28"/>
    </row>
    <row r="70" spans="2:46" s="10" customFormat="1" ht="18" customHeight="1" thickBot="1">
      <c r="B70" s="114"/>
      <c r="C70" s="1348" t="s">
        <v>59</v>
      </c>
      <c r="D70" s="1355" t="s">
        <v>122</v>
      </c>
      <c r="E70" s="1356" t="s">
        <v>123</v>
      </c>
      <c r="F70" s="78" t="s">
        <v>64</v>
      </c>
      <c r="G70" s="100" t="s">
        <v>487</v>
      </c>
      <c r="H70" s="479">
        <v>202571.66666666666</v>
      </c>
      <c r="I70" s="480"/>
      <c r="J70" s="479">
        <v>206324.66666666666</v>
      </c>
      <c r="K70" s="480"/>
      <c r="L70" s="479">
        <v>211130</v>
      </c>
      <c r="M70" s="670"/>
      <c r="N70" s="408">
        <f t="shared" ref="N70:N77" si="40">SUM(H70,J70,L70)</f>
        <v>620026.33333333326</v>
      </c>
      <c r="O70" s="481"/>
      <c r="P70" s="479">
        <v>207045</v>
      </c>
      <c r="Q70" s="480"/>
      <c r="R70" s="479">
        <v>207045</v>
      </c>
      <c r="S70" s="480"/>
      <c r="T70" s="479"/>
      <c r="U70" s="670"/>
      <c r="V70" s="408">
        <f t="shared" si="27"/>
        <v>414090</v>
      </c>
      <c r="W70" s="481"/>
      <c r="X70" s="479"/>
      <c r="Y70" s="480"/>
      <c r="Z70" s="479"/>
      <c r="AA70" s="480"/>
      <c r="AB70" s="479"/>
      <c r="AC70" s="670"/>
      <c r="AD70" s="408">
        <f t="shared" si="28"/>
        <v>0</v>
      </c>
      <c r="AE70" s="481"/>
      <c r="AF70" s="479"/>
      <c r="AG70" s="480"/>
      <c r="AH70" s="479"/>
      <c r="AI70" s="480"/>
      <c r="AJ70" s="479"/>
      <c r="AK70" s="670"/>
      <c r="AL70" s="408">
        <f t="shared" si="29"/>
        <v>0</v>
      </c>
      <c r="AM70" s="481"/>
      <c r="AN70" s="589">
        <f t="shared" si="25"/>
        <v>1034116.3333333333</v>
      </c>
      <c r="AO70" s="482"/>
      <c r="AP70" s="71"/>
      <c r="AQ70" s="28"/>
      <c r="AR70" s="28"/>
      <c r="AS70" s="28"/>
      <c r="AT70" s="28"/>
    </row>
    <row r="71" spans="2:46" s="10" customFormat="1" ht="18" customHeight="1" thickBot="1">
      <c r="B71" s="86"/>
      <c r="C71" s="1348" t="s">
        <v>59</v>
      </c>
      <c r="D71" s="1355" t="s">
        <v>1021</v>
      </c>
      <c r="E71" s="1356" t="s">
        <v>123</v>
      </c>
      <c r="F71" s="104" t="s">
        <v>66</v>
      </c>
      <c r="G71" s="100" t="s">
        <v>487</v>
      </c>
      <c r="H71" s="95">
        <v>416666.66666666669</v>
      </c>
      <c r="I71" s="480"/>
      <c r="J71" s="95">
        <v>416666.66666666669</v>
      </c>
      <c r="K71" s="480"/>
      <c r="L71" s="95">
        <v>422169.16666666669</v>
      </c>
      <c r="M71" s="670"/>
      <c r="N71" s="406">
        <f t="shared" si="40"/>
        <v>1255502.5</v>
      </c>
      <c r="O71" s="481"/>
      <c r="P71" s="95">
        <v>422169.16666666669</v>
      </c>
      <c r="Q71" s="480"/>
      <c r="R71" s="95">
        <v>422169</v>
      </c>
      <c r="S71" s="480"/>
      <c r="T71" s="95"/>
      <c r="U71" s="670"/>
      <c r="V71" s="408">
        <f t="shared" si="27"/>
        <v>844338.16666666674</v>
      </c>
      <c r="W71" s="481"/>
      <c r="X71" s="95"/>
      <c r="Y71" s="480"/>
      <c r="Z71" s="95"/>
      <c r="AA71" s="480"/>
      <c r="AB71" s="95"/>
      <c r="AC71" s="670"/>
      <c r="AD71" s="406">
        <f t="shared" si="28"/>
        <v>0</v>
      </c>
      <c r="AE71" s="481"/>
      <c r="AF71" s="95"/>
      <c r="AG71" s="480"/>
      <c r="AH71" s="95"/>
      <c r="AI71" s="480"/>
      <c r="AJ71" s="95"/>
      <c r="AK71" s="670"/>
      <c r="AL71" s="406">
        <f t="shared" si="29"/>
        <v>0</v>
      </c>
      <c r="AM71" s="481"/>
      <c r="AN71" s="589">
        <f t="shared" si="25"/>
        <v>2099840.666666667</v>
      </c>
      <c r="AO71" s="482"/>
      <c r="AP71" s="71"/>
      <c r="AQ71" s="28"/>
      <c r="AR71" s="28"/>
      <c r="AS71" s="28"/>
      <c r="AT71" s="28"/>
    </row>
    <row r="72" spans="2:46" s="10" customFormat="1" ht="18" customHeight="1" thickBot="1">
      <c r="B72" s="86"/>
      <c r="C72" s="1348" t="s">
        <v>59</v>
      </c>
      <c r="D72" s="1355" t="s">
        <v>1022</v>
      </c>
      <c r="E72" s="1356" t="s">
        <v>123</v>
      </c>
      <c r="F72" s="104" t="s">
        <v>72</v>
      </c>
      <c r="G72" s="100" t="s">
        <v>487</v>
      </c>
      <c r="H72" s="30">
        <v>311016.16666666669</v>
      </c>
      <c r="I72" s="116"/>
      <c r="J72" s="30">
        <v>284721.66666666669</v>
      </c>
      <c r="K72" s="116"/>
      <c r="L72" s="30">
        <v>288057.16666666669</v>
      </c>
      <c r="M72" s="671"/>
      <c r="N72" s="89">
        <f t="shared" si="40"/>
        <v>883795</v>
      </c>
      <c r="O72" s="115"/>
      <c r="P72" s="30">
        <v>0</v>
      </c>
      <c r="Q72" s="116"/>
      <c r="R72" s="30">
        <v>0</v>
      </c>
      <c r="S72" s="116"/>
      <c r="T72" s="30"/>
      <c r="U72" s="671"/>
      <c r="V72" s="101">
        <f t="shared" si="27"/>
        <v>0</v>
      </c>
      <c r="W72" s="115"/>
      <c r="X72" s="30"/>
      <c r="Y72" s="116"/>
      <c r="Z72" s="30"/>
      <c r="AA72" s="116"/>
      <c r="AB72" s="30"/>
      <c r="AC72" s="671"/>
      <c r="AD72" s="89">
        <f t="shared" si="28"/>
        <v>0</v>
      </c>
      <c r="AE72" s="115"/>
      <c r="AF72" s="30"/>
      <c r="AG72" s="116"/>
      <c r="AH72" s="30"/>
      <c r="AI72" s="116"/>
      <c r="AJ72" s="30"/>
      <c r="AK72" s="671"/>
      <c r="AL72" s="89">
        <f t="shared" si="29"/>
        <v>0</v>
      </c>
      <c r="AM72" s="115"/>
      <c r="AN72" s="585">
        <f t="shared" si="25"/>
        <v>883795</v>
      </c>
      <c r="AO72" s="117"/>
      <c r="AP72" s="71"/>
      <c r="AQ72" s="28"/>
      <c r="AR72" s="28"/>
      <c r="AS72" s="28"/>
      <c r="AT72" s="28"/>
    </row>
    <row r="73" spans="2:46" s="10" customFormat="1" ht="18" customHeight="1" thickBot="1">
      <c r="B73" s="86"/>
      <c r="C73" s="1348" t="s">
        <v>59</v>
      </c>
      <c r="D73" s="1355" t="s">
        <v>1023</v>
      </c>
      <c r="E73" s="1356" t="s">
        <v>123</v>
      </c>
      <c r="F73" s="104" t="s">
        <v>124</v>
      </c>
      <c r="G73" s="100" t="s">
        <v>487</v>
      </c>
      <c r="H73" s="30">
        <v>347221.66666666669</v>
      </c>
      <c r="I73" s="116"/>
      <c r="J73" s="30">
        <v>347221.66666666669</v>
      </c>
      <c r="K73" s="116"/>
      <c r="L73" s="30">
        <v>347221.66666666669</v>
      </c>
      <c r="M73" s="671"/>
      <c r="N73" s="89">
        <f t="shared" si="40"/>
        <v>1041665</v>
      </c>
      <c r="O73" s="115"/>
      <c r="P73" s="30">
        <v>0</v>
      </c>
      <c r="Q73" s="116"/>
      <c r="R73" s="30">
        <v>0</v>
      </c>
      <c r="S73" s="116"/>
      <c r="T73" s="30"/>
      <c r="U73" s="671"/>
      <c r="V73" s="101">
        <f t="shared" si="27"/>
        <v>0</v>
      </c>
      <c r="W73" s="115"/>
      <c r="X73" s="30"/>
      <c r="Y73" s="116"/>
      <c r="Z73" s="30"/>
      <c r="AA73" s="116"/>
      <c r="AB73" s="30"/>
      <c r="AC73" s="671"/>
      <c r="AD73" s="89">
        <f t="shared" si="28"/>
        <v>0</v>
      </c>
      <c r="AE73" s="115"/>
      <c r="AF73" s="30"/>
      <c r="AG73" s="116"/>
      <c r="AH73" s="30"/>
      <c r="AI73" s="116"/>
      <c r="AJ73" s="30"/>
      <c r="AK73" s="671"/>
      <c r="AL73" s="89">
        <f t="shared" si="29"/>
        <v>0</v>
      </c>
      <c r="AM73" s="115"/>
      <c r="AN73" s="585">
        <f t="shared" si="25"/>
        <v>1041665</v>
      </c>
      <c r="AO73" s="117"/>
      <c r="AP73" s="71"/>
      <c r="AQ73" s="28"/>
      <c r="AR73" s="28"/>
      <c r="AS73" s="28"/>
      <c r="AT73" s="28"/>
    </row>
    <row r="74" spans="2:46" s="10" customFormat="1" ht="18" customHeight="1" thickBot="1">
      <c r="B74" s="86"/>
      <c r="C74" s="1348" t="s">
        <v>59</v>
      </c>
      <c r="D74" s="1355" t="s">
        <v>1024</v>
      </c>
      <c r="E74" s="1356" t="s">
        <v>123</v>
      </c>
      <c r="F74" s="104" t="s">
        <v>125</v>
      </c>
      <c r="G74" s="100" t="s">
        <v>487</v>
      </c>
      <c r="H74" s="30">
        <v>185569.41666666666</v>
      </c>
      <c r="I74" s="116"/>
      <c r="J74" s="30">
        <v>197585.08333333334</v>
      </c>
      <c r="K74" s="116"/>
      <c r="L74" s="30">
        <v>203175</v>
      </c>
      <c r="M74" s="671"/>
      <c r="N74" s="89">
        <f t="shared" si="40"/>
        <v>586329.5</v>
      </c>
      <c r="O74" s="115"/>
      <c r="P74" s="30">
        <v>199090</v>
      </c>
      <c r="Q74" s="116"/>
      <c r="R74" s="30">
        <v>199090</v>
      </c>
      <c r="S74" s="116"/>
      <c r="T74" s="30"/>
      <c r="U74" s="671"/>
      <c r="V74" s="101">
        <f t="shared" si="27"/>
        <v>398180</v>
      </c>
      <c r="W74" s="115"/>
      <c r="X74" s="30"/>
      <c r="Y74" s="116"/>
      <c r="Z74" s="30"/>
      <c r="AA74" s="116"/>
      <c r="AB74" s="30"/>
      <c r="AC74" s="671"/>
      <c r="AD74" s="89">
        <f t="shared" si="28"/>
        <v>0</v>
      </c>
      <c r="AE74" s="115"/>
      <c r="AF74" s="30"/>
      <c r="AG74" s="116"/>
      <c r="AH74" s="30"/>
      <c r="AI74" s="116"/>
      <c r="AJ74" s="30"/>
      <c r="AK74" s="671"/>
      <c r="AL74" s="89">
        <f t="shared" si="29"/>
        <v>0</v>
      </c>
      <c r="AM74" s="115"/>
      <c r="AN74" s="585">
        <f t="shared" si="25"/>
        <v>984509.5</v>
      </c>
      <c r="AO74" s="117"/>
      <c r="AP74" s="71"/>
      <c r="AQ74" s="28"/>
      <c r="AR74" s="28"/>
      <c r="AS74" s="28"/>
      <c r="AT74" s="28"/>
    </row>
    <row r="75" spans="2:46" s="10" customFormat="1" ht="18" customHeight="1" thickBot="1">
      <c r="B75" s="86"/>
      <c r="C75" s="1348" t="s">
        <v>59</v>
      </c>
      <c r="D75" s="1355" t="s">
        <v>1025</v>
      </c>
      <c r="E75" s="1356" t="s">
        <v>123</v>
      </c>
      <c r="F75" s="104" t="s">
        <v>77</v>
      </c>
      <c r="G75" s="100" t="s">
        <v>487</v>
      </c>
      <c r="H75" s="30">
        <v>0</v>
      </c>
      <c r="I75" s="116"/>
      <c r="J75" s="30">
        <v>0</v>
      </c>
      <c r="K75" s="116"/>
      <c r="L75" s="30">
        <v>0</v>
      </c>
      <c r="M75" s="671"/>
      <c r="N75" s="89">
        <f t="shared" si="40"/>
        <v>0</v>
      </c>
      <c r="O75" s="115"/>
      <c r="P75" s="30">
        <v>197585</v>
      </c>
      <c r="Q75" s="116"/>
      <c r="R75" s="30">
        <v>197585</v>
      </c>
      <c r="S75" s="116"/>
      <c r="T75" s="30"/>
      <c r="U75" s="671"/>
      <c r="V75" s="101">
        <f t="shared" si="27"/>
        <v>395170</v>
      </c>
      <c r="W75" s="115"/>
      <c r="X75" s="30"/>
      <c r="Y75" s="116"/>
      <c r="Z75" s="30"/>
      <c r="AA75" s="116"/>
      <c r="AB75" s="30"/>
      <c r="AC75" s="671"/>
      <c r="AD75" s="89">
        <f t="shared" si="28"/>
        <v>0</v>
      </c>
      <c r="AE75" s="115"/>
      <c r="AF75" s="30"/>
      <c r="AG75" s="116"/>
      <c r="AH75" s="30"/>
      <c r="AI75" s="116"/>
      <c r="AJ75" s="30"/>
      <c r="AK75" s="671"/>
      <c r="AL75" s="89">
        <f t="shared" si="29"/>
        <v>0</v>
      </c>
      <c r="AM75" s="115"/>
      <c r="AN75" s="585">
        <f t="shared" si="25"/>
        <v>395170</v>
      </c>
      <c r="AO75" s="117"/>
      <c r="AP75" s="71"/>
      <c r="AQ75" s="28"/>
      <c r="AR75" s="28"/>
      <c r="AS75" s="28"/>
      <c r="AT75" s="28"/>
    </row>
    <row r="76" spans="2:46" s="10" customFormat="1" ht="18" customHeight="1" thickBot="1">
      <c r="B76" s="86"/>
      <c r="C76" s="1348" t="s">
        <v>59</v>
      </c>
      <c r="D76" s="1355" t="s">
        <v>1026</v>
      </c>
      <c r="E76" s="1356" t="s">
        <v>123</v>
      </c>
      <c r="F76" s="104" t="s">
        <v>70</v>
      </c>
      <c r="G76" s="100" t="s">
        <v>487</v>
      </c>
      <c r="H76" s="30">
        <v>0</v>
      </c>
      <c r="I76" s="116"/>
      <c r="J76" s="30">
        <v>0</v>
      </c>
      <c r="K76" s="116"/>
      <c r="L76" s="30">
        <v>0</v>
      </c>
      <c r="M76" s="671"/>
      <c r="N76" s="89">
        <f t="shared" ref="N76" si="41">SUM(H76,J76,L76)</f>
        <v>0</v>
      </c>
      <c r="O76" s="115"/>
      <c r="P76" s="30">
        <v>290295</v>
      </c>
      <c r="Q76" s="116"/>
      <c r="R76" s="30">
        <v>290295</v>
      </c>
      <c r="S76" s="116"/>
      <c r="T76" s="30"/>
      <c r="U76" s="671"/>
      <c r="V76" s="101">
        <f t="shared" ref="V76" si="42">SUM(P76,R76,T76)</f>
        <v>580590</v>
      </c>
      <c r="W76" s="115"/>
      <c r="X76" s="30"/>
      <c r="Y76" s="116"/>
      <c r="Z76" s="30"/>
      <c r="AA76" s="116"/>
      <c r="AB76" s="30"/>
      <c r="AC76" s="671"/>
      <c r="AD76" s="89">
        <f t="shared" ref="AD76" si="43">SUM(X76,Z76,AB76)</f>
        <v>0</v>
      </c>
      <c r="AE76" s="115"/>
      <c r="AF76" s="30"/>
      <c r="AG76" s="116"/>
      <c r="AH76" s="30"/>
      <c r="AI76" s="116"/>
      <c r="AJ76" s="30"/>
      <c r="AK76" s="671"/>
      <c r="AL76" s="89">
        <f t="shared" ref="AL76" si="44">SUM(AF76,AH76,AJ76)</f>
        <v>0</v>
      </c>
      <c r="AM76" s="115"/>
      <c r="AN76" s="585">
        <f t="shared" ref="AN76" si="45">SUM(N76+V76+AD76+AL76)</f>
        <v>580590</v>
      </c>
      <c r="AO76" s="117"/>
      <c r="AP76" s="71"/>
      <c r="AQ76" s="28"/>
      <c r="AR76" s="28"/>
      <c r="AS76" s="28"/>
      <c r="AT76" s="28"/>
    </row>
    <row r="77" spans="2:46" s="10" customFormat="1" ht="18" hidden="1" customHeight="1" thickBot="1">
      <c r="B77" s="86"/>
      <c r="C77" s="1349"/>
      <c r="D77" s="119"/>
      <c r="E77" s="99"/>
      <c r="F77" s="104"/>
      <c r="G77" s="100"/>
      <c r="H77" s="30"/>
      <c r="I77" s="116"/>
      <c r="J77" s="30"/>
      <c r="K77" s="116"/>
      <c r="L77" s="30"/>
      <c r="M77" s="671"/>
      <c r="N77" s="89">
        <f t="shared" si="40"/>
        <v>0</v>
      </c>
      <c r="O77" s="115"/>
      <c r="P77" s="30"/>
      <c r="Q77" s="116"/>
      <c r="R77" s="30"/>
      <c r="S77" s="116"/>
      <c r="T77" s="30"/>
      <c r="U77" s="671"/>
      <c r="V77" s="101">
        <f t="shared" si="27"/>
        <v>0</v>
      </c>
      <c r="W77" s="115"/>
      <c r="X77" s="30"/>
      <c r="Y77" s="116"/>
      <c r="Z77" s="30"/>
      <c r="AA77" s="116"/>
      <c r="AB77" s="30"/>
      <c r="AC77" s="671"/>
      <c r="AD77" s="89">
        <f t="shared" si="28"/>
        <v>0</v>
      </c>
      <c r="AE77" s="115"/>
      <c r="AF77" s="30"/>
      <c r="AG77" s="116"/>
      <c r="AH77" s="30"/>
      <c r="AI77" s="116"/>
      <c r="AJ77" s="30"/>
      <c r="AK77" s="671"/>
      <c r="AL77" s="89">
        <f t="shared" si="29"/>
        <v>0</v>
      </c>
      <c r="AM77" s="115"/>
      <c r="AN77" s="585">
        <f t="shared" si="25"/>
        <v>0</v>
      </c>
      <c r="AO77" s="117"/>
      <c r="AP77" s="71"/>
      <c r="AQ77" s="28"/>
      <c r="AR77" s="28"/>
      <c r="AS77" s="28"/>
      <c r="AT77" s="28"/>
    </row>
    <row r="78" spans="2:46" s="10" customFormat="1" ht="20" customHeight="1" thickBot="1">
      <c r="B78" s="1044" t="s">
        <v>126</v>
      </c>
      <c r="C78" s="1045"/>
      <c r="D78" s="1045"/>
      <c r="E78" s="1045"/>
      <c r="F78" s="1045"/>
      <c r="G78" s="1046"/>
      <c r="H78" s="108">
        <f>SUM(H70:H77)</f>
        <v>1463045.5833333335</v>
      </c>
      <c r="I78" s="112">
        <f>H78/H$27</f>
        <v>1.7247007437818235E-2</v>
      </c>
      <c r="J78" s="108">
        <f>SUM(J70:J77)</f>
        <v>1452519.75</v>
      </c>
      <c r="K78" s="112">
        <f>J78/J$27</f>
        <v>1.96918122398042E-2</v>
      </c>
      <c r="L78" s="108">
        <f>SUM(L70:L77)</f>
        <v>1471753.0000000002</v>
      </c>
      <c r="M78" s="112">
        <f>L78/L$27</f>
        <v>1.4477211616917838E-2</v>
      </c>
      <c r="N78" s="110">
        <f>SUM(H78,J78,L78)</f>
        <v>4387318.333333334</v>
      </c>
      <c r="O78" s="112">
        <f>N78/N$27</f>
        <v>1.6857990890575575E-2</v>
      </c>
      <c r="P78" s="108">
        <f>SUM(P70:P77)</f>
        <v>1316184.1666666667</v>
      </c>
      <c r="Q78" s="112">
        <f>P78/P$27</f>
        <v>1.289374309793084E-2</v>
      </c>
      <c r="R78" s="108">
        <f>SUM(R70:R77)</f>
        <v>1316184</v>
      </c>
      <c r="S78" s="112">
        <f>R78/R$27</f>
        <v>1.4287980006571986E-2</v>
      </c>
      <c r="T78" s="108">
        <f>SUM(T70:T77)</f>
        <v>0</v>
      </c>
      <c r="U78" s="112" t="e">
        <f>T78/T$27</f>
        <v>#DIV/0!</v>
      </c>
      <c r="V78" s="110">
        <f>SUM(P78,R78,T78)</f>
        <v>2632368.166666667</v>
      </c>
      <c r="W78" s="112">
        <f>V78/V$27</f>
        <v>1.3555104088622219E-2</v>
      </c>
      <c r="X78" s="108">
        <f>SUM(X70:X77)</f>
        <v>0</v>
      </c>
      <c r="Y78" s="112" t="e">
        <f>X78/X$27</f>
        <v>#DIV/0!</v>
      </c>
      <c r="Z78" s="108">
        <f>SUM(Z70:Z77)</f>
        <v>0</v>
      </c>
      <c r="AA78" s="112" t="e">
        <f>Z78/Z$27</f>
        <v>#DIV/0!</v>
      </c>
      <c r="AB78" s="108">
        <f>SUM(AB70:AB77)</f>
        <v>0</v>
      </c>
      <c r="AC78" s="112" t="e">
        <f>AB78/AB$27</f>
        <v>#DIV/0!</v>
      </c>
      <c r="AD78" s="110">
        <f t="shared" si="28"/>
        <v>0</v>
      </c>
      <c r="AE78" s="112" t="e">
        <f>AD78/AD$27</f>
        <v>#DIV/0!</v>
      </c>
      <c r="AF78" s="108">
        <f>SUM(AF70:AF77)</f>
        <v>0</v>
      </c>
      <c r="AG78" s="112" t="e">
        <f>AF78/AF$27</f>
        <v>#DIV/0!</v>
      </c>
      <c r="AH78" s="108">
        <f>SUM(AH70:AH77)</f>
        <v>0</v>
      </c>
      <c r="AI78" s="112" t="e">
        <f>AH78/AH$27</f>
        <v>#DIV/0!</v>
      </c>
      <c r="AJ78" s="108">
        <f>SUM(AJ70:AJ77)</f>
        <v>0</v>
      </c>
      <c r="AK78" s="112" t="e">
        <f>AJ78/AJ$27</f>
        <v>#DIV/0!</v>
      </c>
      <c r="AL78" s="704">
        <f t="shared" si="29"/>
        <v>0</v>
      </c>
      <c r="AM78" s="112" t="e">
        <f>AL78/AL$27</f>
        <v>#DIV/0!</v>
      </c>
      <c r="AN78" s="110">
        <f t="shared" si="25"/>
        <v>7019686.5000000009</v>
      </c>
      <c r="AO78" s="113">
        <f>AN78/AN$27</f>
        <v>1.5446584109586799E-2</v>
      </c>
      <c r="AP78" s="4"/>
      <c r="AQ78" s="28"/>
      <c r="AR78" s="28"/>
      <c r="AS78" s="28"/>
      <c r="AT78" s="28"/>
    </row>
    <row r="79" spans="2:46" s="10" customFormat="1" ht="20" customHeight="1" thickBot="1">
      <c r="B79" s="1150" t="s">
        <v>603</v>
      </c>
      <c r="C79" s="1151"/>
      <c r="D79" s="1151"/>
      <c r="E79" s="1151"/>
      <c r="F79" s="1151"/>
      <c r="G79" s="1152"/>
      <c r="H79" s="121">
        <f>H69+H78</f>
        <v>57620258.551075272</v>
      </c>
      <c r="I79" s="125">
        <f>H79/H$27</f>
        <v>0.67925226604029021</v>
      </c>
      <c r="J79" s="121">
        <f>J69+J78</f>
        <v>52828634.75</v>
      </c>
      <c r="K79" s="125">
        <f>J79/J$27</f>
        <v>0.71619787364832421</v>
      </c>
      <c r="L79" s="121">
        <f>L69+L78</f>
        <v>58827463</v>
      </c>
      <c r="M79" s="125">
        <f>L79/L$27</f>
        <v>0.57866886001754658</v>
      </c>
      <c r="N79" s="123">
        <f>SUM(H79,J79,L79)</f>
        <v>169276356.30107528</v>
      </c>
      <c r="O79" s="124">
        <f>N79/N$27</f>
        <v>0.65043360333172817</v>
      </c>
      <c r="P79" s="121">
        <f>P69+P78</f>
        <v>60318164.166666664</v>
      </c>
      <c r="Q79" s="125">
        <f>P79/P$27</f>
        <v>0.5908952049419256</v>
      </c>
      <c r="R79" s="121">
        <f>R69+R78</f>
        <v>55429759</v>
      </c>
      <c r="S79" s="125">
        <f>R79/R$27</f>
        <v>0.60172383827876919</v>
      </c>
      <c r="T79" s="121">
        <f>T69+T78</f>
        <v>0</v>
      </c>
      <c r="U79" s="125" t="e">
        <f>T79/T$27</f>
        <v>#DIV/0!</v>
      </c>
      <c r="V79" s="123">
        <f t="shared" ref="V79" si="46">SUM(P79,R79,T79)</f>
        <v>115747923.16666666</v>
      </c>
      <c r="W79" s="124">
        <f>V79/V$27</f>
        <v>0.59603180377036169</v>
      </c>
      <c r="X79" s="121">
        <f>X69+X78</f>
        <v>0</v>
      </c>
      <c r="Y79" s="125" t="e">
        <f>X79/X$27</f>
        <v>#DIV/0!</v>
      </c>
      <c r="Z79" s="121">
        <f>Z69+Z78</f>
        <v>0</v>
      </c>
      <c r="AA79" s="125" t="e">
        <f>Z79/Z$27</f>
        <v>#DIV/0!</v>
      </c>
      <c r="AB79" s="121">
        <f>AB69+AB78</f>
        <v>0</v>
      </c>
      <c r="AC79" s="125" t="e">
        <f>AB79/AB$27</f>
        <v>#DIV/0!</v>
      </c>
      <c r="AD79" s="123">
        <f t="shared" ref="AD79" si="47">SUM(X79,Z79,AB79)</f>
        <v>0</v>
      </c>
      <c r="AE79" s="124" t="e">
        <f>AD79/AD$27</f>
        <v>#DIV/0!</v>
      </c>
      <c r="AF79" s="121">
        <f>AF69+AF78</f>
        <v>0</v>
      </c>
      <c r="AG79" s="125" t="e">
        <f>AF79/AF$27</f>
        <v>#DIV/0!</v>
      </c>
      <c r="AH79" s="121">
        <f>AH69+AH78</f>
        <v>0</v>
      </c>
      <c r="AI79" s="125" t="e">
        <f>AH79/AH$27</f>
        <v>#DIV/0!</v>
      </c>
      <c r="AJ79" s="121">
        <f>AJ69+AJ78</f>
        <v>0</v>
      </c>
      <c r="AK79" s="125" t="e">
        <f>AJ79/AJ$27</f>
        <v>#DIV/0!</v>
      </c>
      <c r="AL79" s="123">
        <f t="shared" ref="AL79" si="48">SUM(AF79,AH79,AJ79)</f>
        <v>0</v>
      </c>
      <c r="AM79" s="124" t="e">
        <f>AL79/AL$27</f>
        <v>#DIV/0!</v>
      </c>
      <c r="AN79" s="123">
        <f>SUM(N79+V79+AD79+AL79)</f>
        <v>285024279.46774197</v>
      </c>
      <c r="AO79" s="126">
        <f>AN79/AN$27</f>
        <v>0.62718634316117239</v>
      </c>
      <c r="AP79" s="4" t="s">
        <v>127</v>
      </c>
      <c r="AQ79" s="28"/>
      <c r="AR79" s="28"/>
      <c r="AS79" s="28"/>
      <c r="AT79" s="28"/>
    </row>
    <row r="80" spans="2:46" s="85" customFormat="1" ht="20" customHeight="1" thickBot="1">
      <c r="B80" s="1047" t="s">
        <v>518</v>
      </c>
      <c r="C80" s="1048"/>
      <c r="D80" s="1048"/>
      <c r="E80" s="1048"/>
      <c r="F80" s="1048"/>
      <c r="G80" s="1049"/>
      <c r="H80" s="127">
        <f>H27-H79</f>
        <v>27208694.448924728</v>
      </c>
      <c r="I80" s="838">
        <f>H80/H$27</f>
        <v>0.32074773395970979</v>
      </c>
      <c r="J80" s="127">
        <f>J27-J79</f>
        <v>20933989.650000006</v>
      </c>
      <c r="K80" s="673">
        <f>J80/J$27</f>
        <v>0.28380212635167579</v>
      </c>
      <c r="L80" s="129">
        <f>L27-L79</f>
        <v>42832514</v>
      </c>
      <c r="M80" s="673">
        <f>L80/L$27</f>
        <v>0.42133113998245347</v>
      </c>
      <c r="N80" s="130">
        <f>N27-N79</f>
        <v>90975198.098924726</v>
      </c>
      <c r="O80" s="673">
        <f>N80/N$27</f>
        <v>0.34956639666827183</v>
      </c>
      <c r="P80" s="129">
        <f>P27-P79</f>
        <v>41761127.833333336</v>
      </c>
      <c r="Q80" s="673">
        <f>P80/P$27</f>
        <v>0.4091047950580744</v>
      </c>
      <c r="R80" s="129">
        <f>R27-R79</f>
        <v>36688511</v>
      </c>
      <c r="S80" s="673">
        <f>R80/R$27</f>
        <v>0.39827616172123076</v>
      </c>
      <c r="T80" s="129">
        <f>T27-T79</f>
        <v>0</v>
      </c>
      <c r="U80" s="673" t="e">
        <f>T80/T27</f>
        <v>#DIV/0!</v>
      </c>
      <c r="V80" s="130">
        <f>V27-V79</f>
        <v>78449638.833333343</v>
      </c>
      <c r="W80" s="673">
        <f>V80/V$27</f>
        <v>0.40396819622963825</v>
      </c>
      <c r="X80" s="129">
        <f>X27-X79</f>
        <v>0</v>
      </c>
      <c r="Y80" s="673" t="e">
        <f>X80/X$27</f>
        <v>#DIV/0!</v>
      </c>
      <c r="Z80" s="129">
        <f>Z27-Z79</f>
        <v>0</v>
      </c>
      <c r="AA80" s="673" t="e">
        <f>Z80/Z$27</f>
        <v>#DIV/0!</v>
      </c>
      <c r="AB80" s="129">
        <f>AB27-AB79</f>
        <v>0</v>
      </c>
      <c r="AC80" s="673" t="e">
        <f>AB80/AB$27</f>
        <v>#DIV/0!</v>
      </c>
      <c r="AD80" s="130">
        <f>AD27-AD79</f>
        <v>0</v>
      </c>
      <c r="AE80" s="673" t="e">
        <f>AD80/AD$27</f>
        <v>#DIV/0!</v>
      </c>
      <c r="AF80" s="129">
        <f>AF27-AF79</f>
        <v>0</v>
      </c>
      <c r="AG80" s="673" t="e">
        <f>AF80/AF$27</f>
        <v>#DIV/0!</v>
      </c>
      <c r="AH80" s="129">
        <f>AH27-AH79</f>
        <v>0</v>
      </c>
      <c r="AI80" s="673" t="e">
        <f>AH80/AH$27</f>
        <v>#DIV/0!</v>
      </c>
      <c r="AJ80" s="129">
        <f>AJ27-AJ79</f>
        <v>0</v>
      </c>
      <c r="AK80" s="673" t="e">
        <f>AJ80/AJ$27</f>
        <v>#DIV/0!</v>
      </c>
      <c r="AL80" s="130">
        <f>AL27-AL79</f>
        <v>0</v>
      </c>
      <c r="AM80" s="673" t="e">
        <f>AL80/AL$27</f>
        <v>#DIV/0!</v>
      </c>
      <c r="AN80" s="130">
        <f>AN27-AN79</f>
        <v>169424836.93225801</v>
      </c>
      <c r="AO80" s="131">
        <f>AN80/AN$27</f>
        <v>0.37281365683882761</v>
      </c>
      <c r="AP80" s="83" t="s">
        <v>128</v>
      </c>
      <c r="AQ80" s="84"/>
      <c r="AR80" s="84"/>
      <c r="AS80" s="84"/>
      <c r="AT80" s="84"/>
    </row>
    <row r="81" spans="1:46" s="10" customFormat="1" ht="18" customHeight="1" thickBot="1">
      <c r="B81" s="86"/>
      <c r="C81" s="98" t="s">
        <v>249</v>
      </c>
      <c r="D81" s="1355" t="s">
        <v>105</v>
      </c>
      <c r="E81" s="1355" t="s">
        <v>105</v>
      </c>
      <c r="F81" s="515" t="s">
        <v>132</v>
      </c>
      <c r="G81" s="133" t="s">
        <v>133</v>
      </c>
      <c r="H81" s="31">
        <v>1785000</v>
      </c>
      <c r="I81" s="90"/>
      <c r="J81" s="31">
        <v>1596000</v>
      </c>
      <c r="K81" s="90"/>
      <c r="L81" s="31">
        <v>2156000</v>
      </c>
      <c r="M81" s="661"/>
      <c r="N81" s="89">
        <f t="shared" ref="N81:N136" si="49">SUM(H81,J81,L81)</f>
        <v>5537000</v>
      </c>
      <c r="O81" s="34"/>
      <c r="P81" s="31">
        <v>2352000</v>
      </c>
      <c r="Q81" s="90"/>
      <c r="R81" s="31">
        <v>2100000</v>
      </c>
      <c r="S81" s="90"/>
      <c r="T81" s="31"/>
      <c r="U81" s="661"/>
      <c r="V81" s="101">
        <f t="shared" ref="V81:V136" si="50">SUM(P81,R81,T81)</f>
        <v>4452000</v>
      </c>
      <c r="W81" s="34"/>
      <c r="X81" s="31"/>
      <c r="Y81" s="90"/>
      <c r="Z81" s="31"/>
      <c r="AA81" s="90"/>
      <c r="AB81" s="31"/>
      <c r="AC81" s="661"/>
      <c r="AD81" s="89">
        <f t="shared" ref="AD81:AD136" si="51">SUM(X81,Z81,AB81)</f>
        <v>0</v>
      </c>
      <c r="AE81" s="34"/>
      <c r="AF81" s="31"/>
      <c r="AG81" s="90"/>
      <c r="AH81" s="31"/>
      <c r="AI81" s="90"/>
      <c r="AJ81" s="31"/>
      <c r="AK81" s="661"/>
      <c r="AL81" s="101">
        <f t="shared" si="29"/>
        <v>0</v>
      </c>
      <c r="AM81" s="34"/>
      <c r="AN81" s="585">
        <f t="shared" si="25"/>
        <v>9989000</v>
      </c>
      <c r="AO81" s="40"/>
      <c r="AP81" s="28"/>
      <c r="AQ81" s="28"/>
      <c r="AR81" s="28"/>
      <c r="AS81" s="28"/>
    </row>
    <row r="82" spans="1:46" s="10" customFormat="1" ht="18" customHeight="1">
      <c r="A82" s="5"/>
      <c r="B82" s="86"/>
      <c r="C82" s="98" t="s">
        <v>249</v>
      </c>
      <c r="D82" s="1355" t="s">
        <v>105</v>
      </c>
      <c r="E82" s="1355" t="s">
        <v>105</v>
      </c>
      <c r="F82" s="515" t="s">
        <v>134</v>
      </c>
      <c r="G82" s="88" t="s">
        <v>135</v>
      </c>
      <c r="H82" s="31">
        <v>82724</v>
      </c>
      <c r="I82" s="90"/>
      <c r="J82" s="31">
        <v>74719</v>
      </c>
      <c r="K82" s="90"/>
      <c r="L82" s="31">
        <v>82724</v>
      </c>
      <c r="M82" s="661"/>
      <c r="N82" s="89">
        <f t="shared" si="49"/>
        <v>240167</v>
      </c>
      <c r="O82" s="34"/>
      <c r="P82" s="31">
        <f>61377+21592</f>
        <v>82969</v>
      </c>
      <c r="Q82" s="90"/>
      <c r="R82" s="31">
        <v>83669</v>
      </c>
      <c r="S82" s="90"/>
      <c r="T82" s="31"/>
      <c r="U82" s="661"/>
      <c r="V82" s="101">
        <f t="shared" si="50"/>
        <v>166638</v>
      </c>
      <c r="W82" s="34"/>
      <c r="X82" s="31"/>
      <c r="Y82" s="90"/>
      <c r="Z82" s="31"/>
      <c r="AA82" s="90"/>
      <c r="AB82" s="31"/>
      <c r="AC82" s="661"/>
      <c r="AD82" s="89">
        <f t="shared" si="51"/>
        <v>0</v>
      </c>
      <c r="AE82" s="34"/>
      <c r="AF82" s="31"/>
      <c r="AG82" s="90"/>
      <c r="AH82" s="31"/>
      <c r="AI82" s="90"/>
      <c r="AJ82" s="31"/>
      <c r="AK82" s="661"/>
      <c r="AL82" s="101">
        <f t="shared" ref="AL82:AL136" si="52">SUM(AF82,AH82,AJ82)</f>
        <v>0</v>
      </c>
      <c r="AM82" s="34"/>
      <c r="AN82" s="585">
        <f t="shared" si="25"/>
        <v>406805</v>
      </c>
      <c r="AO82" s="40"/>
      <c r="AP82" s="28"/>
      <c r="AQ82" s="28"/>
      <c r="AR82" s="28"/>
      <c r="AS82" s="28"/>
      <c r="AT82" s="28"/>
    </row>
    <row r="83" spans="1:46" s="10" customFormat="1" ht="18" customHeight="1">
      <c r="A83" s="5"/>
      <c r="B83" s="86"/>
      <c r="C83" s="98" t="s">
        <v>249</v>
      </c>
      <c r="D83" s="1130" t="s">
        <v>499</v>
      </c>
      <c r="E83" s="1131"/>
      <c r="F83" s="1131"/>
      <c r="G83" s="1149"/>
      <c r="H83" s="554">
        <f>SUM(H81:H82)</f>
        <v>1867724</v>
      </c>
      <c r="I83" s="555"/>
      <c r="J83" s="554">
        <f>SUM(J81:J82)</f>
        <v>1670719</v>
      </c>
      <c r="K83" s="555"/>
      <c r="L83" s="554">
        <f>SUM(L81:L82)</f>
        <v>2238724</v>
      </c>
      <c r="M83" s="674"/>
      <c r="N83" s="556">
        <f>SUM(H83,J83,L83)</f>
        <v>5777167</v>
      </c>
      <c r="O83" s="557"/>
      <c r="P83" s="554">
        <f>SUM(P81:P82)</f>
        <v>2434969</v>
      </c>
      <c r="Q83" s="555"/>
      <c r="R83" s="554">
        <f>SUM(R81:R82)</f>
        <v>2183669</v>
      </c>
      <c r="S83" s="555"/>
      <c r="T83" s="554">
        <f>SUM(T81:T82)</f>
        <v>0</v>
      </c>
      <c r="U83" s="674"/>
      <c r="V83" s="558">
        <f t="shared" si="50"/>
        <v>4618638</v>
      </c>
      <c r="W83" s="557"/>
      <c r="X83" s="554">
        <f>SUM(X81:X82)</f>
        <v>0</v>
      </c>
      <c r="Y83" s="555"/>
      <c r="Z83" s="554">
        <f>SUM(Z81:Z82)</f>
        <v>0</v>
      </c>
      <c r="AA83" s="555"/>
      <c r="AB83" s="554">
        <f>SUM(AB81:AB82)</f>
        <v>0</v>
      </c>
      <c r="AC83" s="674"/>
      <c r="AD83" s="556">
        <f t="shared" si="51"/>
        <v>0</v>
      </c>
      <c r="AE83" s="557"/>
      <c r="AF83" s="554">
        <f>SUM(AF81:AF82)</f>
        <v>0</v>
      </c>
      <c r="AG83" s="555"/>
      <c r="AH83" s="554">
        <f>SUM(AH81:AH82)</f>
        <v>0</v>
      </c>
      <c r="AI83" s="555"/>
      <c r="AJ83" s="554">
        <f>SUM(AJ81:AJ82)</f>
        <v>0</v>
      </c>
      <c r="AK83" s="674"/>
      <c r="AL83" s="558">
        <f t="shared" si="52"/>
        <v>0</v>
      </c>
      <c r="AM83" s="557"/>
      <c r="AN83" s="558">
        <f t="shared" si="25"/>
        <v>10395805</v>
      </c>
      <c r="AO83" s="559"/>
      <c r="AP83" s="28"/>
      <c r="AQ83" s="28"/>
      <c r="AR83" s="28"/>
      <c r="AS83" s="28"/>
      <c r="AT83" s="28"/>
    </row>
    <row r="84" spans="1:46" s="10" customFormat="1" ht="18" customHeight="1">
      <c r="A84" s="5"/>
      <c r="B84" s="86"/>
      <c r="C84" s="98" t="s">
        <v>249</v>
      </c>
      <c r="D84" s="564" t="s">
        <v>136</v>
      </c>
      <c r="E84" s="564" t="s">
        <v>136</v>
      </c>
      <c r="F84" s="542" t="s">
        <v>137</v>
      </c>
      <c r="G84" s="133" t="s">
        <v>138</v>
      </c>
      <c r="H84" s="31">
        <v>54500</v>
      </c>
      <c r="I84" s="90"/>
      <c r="J84" s="31">
        <v>54500</v>
      </c>
      <c r="K84" s="90"/>
      <c r="L84" s="31">
        <v>54500</v>
      </c>
      <c r="M84" s="661"/>
      <c r="N84" s="89">
        <f t="shared" si="49"/>
        <v>163500</v>
      </c>
      <c r="O84" s="34"/>
      <c r="P84" s="31">
        <v>54500</v>
      </c>
      <c r="Q84" s="90"/>
      <c r="R84" s="31">
        <v>54500</v>
      </c>
      <c r="S84" s="90"/>
      <c r="T84" s="31"/>
      <c r="U84" s="661"/>
      <c r="V84" s="101">
        <f t="shared" si="50"/>
        <v>109000</v>
      </c>
      <c r="W84" s="34"/>
      <c r="X84" s="31"/>
      <c r="Y84" s="90"/>
      <c r="Z84" s="31"/>
      <c r="AA84" s="90"/>
      <c r="AB84" s="31"/>
      <c r="AC84" s="661"/>
      <c r="AD84" s="89">
        <f t="shared" si="51"/>
        <v>0</v>
      </c>
      <c r="AE84" s="34"/>
      <c r="AF84" s="31"/>
      <c r="AG84" s="90"/>
      <c r="AH84" s="31"/>
      <c r="AI84" s="90"/>
      <c r="AJ84" s="31"/>
      <c r="AK84" s="661"/>
      <c r="AL84" s="101">
        <f t="shared" si="52"/>
        <v>0</v>
      </c>
      <c r="AM84" s="34"/>
      <c r="AN84" s="585">
        <f t="shared" si="25"/>
        <v>272500</v>
      </c>
      <c r="AO84" s="40"/>
      <c r="AP84" s="28"/>
      <c r="AQ84" s="28"/>
      <c r="AR84" s="28"/>
      <c r="AS84" s="28"/>
      <c r="AT84" s="28"/>
    </row>
    <row r="85" spans="1:46" s="10" customFormat="1" ht="18" customHeight="1">
      <c r="A85" s="5"/>
      <c r="B85" s="86"/>
      <c r="C85" s="98" t="s">
        <v>249</v>
      </c>
      <c r="D85" s="564" t="s">
        <v>136</v>
      </c>
      <c r="E85" s="564" t="s">
        <v>136</v>
      </c>
      <c r="F85" s="542" t="s">
        <v>1016</v>
      </c>
      <c r="G85" s="839" t="s">
        <v>1017</v>
      </c>
      <c r="H85" s="31">
        <v>0</v>
      </c>
      <c r="I85" s="90"/>
      <c r="J85" s="31">
        <v>0</v>
      </c>
      <c r="K85" s="90"/>
      <c r="L85" s="31">
        <v>0</v>
      </c>
      <c r="M85" s="661"/>
      <c r="N85" s="89">
        <f t="shared" si="49"/>
        <v>0</v>
      </c>
      <c r="O85" s="34"/>
      <c r="P85" s="31">
        <f>12000*2</f>
        <v>24000</v>
      </c>
      <c r="Q85" s="90"/>
      <c r="R85" s="31"/>
      <c r="S85" s="90"/>
      <c r="T85" s="31"/>
      <c r="U85" s="661"/>
      <c r="V85" s="101">
        <f t="shared" si="50"/>
        <v>24000</v>
      </c>
      <c r="W85" s="34"/>
      <c r="X85" s="31"/>
      <c r="Y85" s="90"/>
      <c r="Z85" s="31"/>
      <c r="AA85" s="90"/>
      <c r="AB85" s="31"/>
      <c r="AC85" s="661"/>
      <c r="AD85" s="89">
        <f t="shared" si="51"/>
        <v>0</v>
      </c>
      <c r="AE85" s="34"/>
      <c r="AF85" s="31"/>
      <c r="AG85" s="90"/>
      <c r="AH85" s="31"/>
      <c r="AI85" s="90"/>
      <c r="AJ85" s="31"/>
      <c r="AK85" s="661"/>
      <c r="AL85" s="101">
        <f t="shared" si="52"/>
        <v>0</v>
      </c>
      <c r="AM85" s="34"/>
      <c r="AN85" s="585">
        <f t="shared" si="25"/>
        <v>24000</v>
      </c>
      <c r="AO85" s="40" t="s">
        <v>1015</v>
      </c>
      <c r="AP85" s="28"/>
      <c r="AQ85" s="28"/>
      <c r="AR85" s="28"/>
      <c r="AS85" s="28"/>
      <c r="AT85" s="28"/>
    </row>
    <row r="86" spans="1:46" s="10" customFormat="1" ht="18" customHeight="1">
      <c r="A86" s="5"/>
      <c r="B86" s="86"/>
      <c r="C86" s="98" t="s">
        <v>249</v>
      </c>
      <c r="D86" s="1093" t="s">
        <v>500</v>
      </c>
      <c r="E86" s="1094"/>
      <c r="F86" s="1094"/>
      <c r="G86" s="1159"/>
      <c r="H86" s="561">
        <f>SUM(H84:H85)</f>
        <v>54500</v>
      </c>
      <c r="I86" s="560"/>
      <c r="J86" s="561">
        <f>SUM(J84:J85)</f>
        <v>54500</v>
      </c>
      <c r="K86" s="560"/>
      <c r="L86" s="561">
        <f>SUM(L84:L85)</f>
        <v>54500</v>
      </c>
      <c r="M86" s="675"/>
      <c r="N86" s="594">
        <f t="shared" si="49"/>
        <v>163500</v>
      </c>
      <c r="O86" s="595"/>
      <c r="P86" s="561">
        <f>SUM(P84:P85)</f>
        <v>78500</v>
      </c>
      <c r="Q86" s="560"/>
      <c r="R86" s="561">
        <f>SUM(R84:R85)</f>
        <v>54500</v>
      </c>
      <c r="S86" s="560"/>
      <c r="T86" s="561">
        <f>SUM(T84:T85)</f>
        <v>0</v>
      </c>
      <c r="U86" s="675"/>
      <c r="V86" s="562">
        <f t="shared" si="50"/>
        <v>133000</v>
      </c>
      <c r="W86" s="595"/>
      <c r="X86" s="561">
        <f>SUM(X84:X85)</f>
        <v>0</v>
      </c>
      <c r="Y86" s="560"/>
      <c r="Z86" s="561">
        <f>SUM(Z84:Z85)</f>
        <v>0</v>
      </c>
      <c r="AA86" s="560"/>
      <c r="AB86" s="561">
        <f>SUM(AB84:AB85)</f>
        <v>0</v>
      </c>
      <c r="AC86" s="675"/>
      <c r="AD86" s="594">
        <f t="shared" si="51"/>
        <v>0</v>
      </c>
      <c r="AE86" s="595"/>
      <c r="AF86" s="561">
        <f>SUM(AF84:AF85)</f>
        <v>0</v>
      </c>
      <c r="AG86" s="560"/>
      <c r="AH86" s="561">
        <f>SUM(AH84:AH85)</f>
        <v>0</v>
      </c>
      <c r="AI86" s="560"/>
      <c r="AJ86" s="561">
        <f>SUM(AJ84:AJ85)</f>
        <v>0</v>
      </c>
      <c r="AK86" s="675"/>
      <c r="AL86" s="562">
        <f t="shared" si="52"/>
        <v>0</v>
      </c>
      <c r="AM86" s="595"/>
      <c r="AN86" s="562">
        <f t="shared" si="25"/>
        <v>296500</v>
      </c>
      <c r="AO86" s="563"/>
      <c r="AP86" s="28"/>
      <c r="AQ86" s="28"/>
      <c r="AR86" s="28"/>
      <c r="AS86" s="28"/>
      <c r="AT86" s="28"/>
    </row>
    <row r="87" spans="1:46" s="10" customFormat="1" ht="18" customHeight="1">
      <c r="A87" s="5"/>
      <c r="B87" s="86"/>
      <c r="C87" s="98" t="s">
        <v>249</v>
      </c>
      <c r="D87" s="1357" t="s">
        <v>150</v>
      </c>
      <c r="E87" s="1357" t="s">
        <v>150</v>
      </c>
      <c r="F87" s="107" t="s">
        <v>151</v>
      </c>
      <c r="G87" s="133" t="s">
        <v>152</v>
      </c>
      <c r="H87" s="31">
        <v>40190</v>
      </c>
      <c r="I87" s="137"/>
      <c r="J87" s="31">
        <v>10790</v>
      </c>
      <c r="K87" s="137"/>
      <c r="L87" s="31">
        <v>14990</v>
      </c>
      <c r="M87" s="676"/>
      <c r="N87" s="89">
        <f t="shared" ref="N87:N92" si="53">SUM(H87,J87,L87)</f>
        <v>65970</v>
      </c>
      <c r="O87" s="136"/>
      <c r="P87" s="31">
        <v>13940</v>
      </c>
      <c r="Q87" s="137"/>
      <c r="R87" s="31">
        <v>17090</v>
      </c>
      <c r="S87" s="137"/>
      <c r="T87" s="31"/>
      <c r="U87" s="676"/>
      <c r="V87" s="101">
        <f t="shared" si="50"/>
        <v>31030</v>
      </c>
      <c r="W87" s="136"/>
      <c r="X87" s="31"/>
      <c r="Y87" s="137"/>
      <c r="Z87" s="31"/>
      <c r="AA87" s="137"/>
      <c r="AB87" s="31"/>
      <c r="AC87" s="676"/>
      <c r="AD87" s="89">
        <f t="shared" si="51"/>
        <v>0</v>
      </c>
      <c r="AE87" s="136"/>
      <c r="AF87" s="31"/>
      <c r="AG87" s="137"/>
      <c r="AH87" s="31"/>
      <c r="AI87" s="137"/>
      <c r="AJ87" s="31"/>
      <c r="AK87" s="676"/>
      <c r="AL87" s="101">
        <f t="shared" si="52"/>
        <v>0</v>
      </c>
      <c r="AM87" s="136"/>
      <c r="AN87" s="585">
        <f t="shared" si="25"/>
        <v>97000</v>
      </c>
      <c r="AO87" s="105" t="s">
        <v>115</v>
      </c>
      <c r="AP87" s="28"/>
      <c r="AQ87" s="28"/>
      <c r="AR87" s="28"/>
      <c r="AS87" s="28"/>
      <c r="AT87" s="28"/>
    </row>
    <row r="88" spans="1:46" s="10" customFormat="1" ht="18" customHeight="1">
      <c r="A88" s="5"/>
      <c r="B88" s="86"/>
      <c r="C88" s="98" t="s">
        <v>249</v>
      </c>
      <c r="D88" s="1357" t="s">
        <v>150</v>
      </c>
      <c r="E88" s="1357" t="s">
        <v>150</v>
      </c>
      <c r="F88" s="107" t="s">
        <v>151</v>
      </c>
      <c r="G88" s="133" t="s">
        <v>153</v>
      </c>
      <c r="H88" s="31">
        <v>80750</v>
      </c>
      <c r="I88" s="137"/>
      <c r="J88" s="31">
        <v>98430</v>
      </c>
      <c r="K88" s="137"/>
      <c r="L88" s="31">
        <v>72590</v>
      </c>
      <c r="M88" s="676"/>
      <c r="N88" s="89">
        <f t="shared" si="53"/>
        <v>251770</v>
      </c>
      <c r="O88" s="136"/>
      <c r="P88" s="31">
        <v>78790</v>
      </c>
      <c r="Q88" s="137"/>
      <c r="R88" s="31">
        <v>99450</v>
      </c>
      <c r="S88" s="137"/>
      <c r="T88" s="31"/>
      <c r="U88" s="676"/>
      <c r="V88" s="101">
        <f t="shared" si="50"/>
        <v>178240</v>
      </c>
      <c r="W88" s="136"/>
      <c r="X88" s="31"/>
      <c r="Y88" s="137"/>
      <c r="Z88" s="31"/>
      <c r="AA88" s="137"/>
      <c r="AB88" s="31"/>
      <c r="AC88" s="676"/>
      <c r="AD88" s="89">
        <f t="shared" si="51"/>
        <v>0</v>
      </c>
      <c r="AE88" s="136"/>
      <c r="AF88" s="31"/>
      <c r="AG88" s="137"/>
      <c r="AH88" s="31"/>
      <c r="AI88" s="137"/>
      <c r="AJ88" s="31"/>
      <c r="AK88" s="676"/>
      <c r="AL88" s="101">
        <f t="shared" si="52"/>
        <v>0</v>
      </c>
      <c r="AM88" s="136"/>
      <c r="AN88" s="585">
        <f t="shared" si="25"/>
        <v>430010</v>
      </c>
      <c r="AO88" s="105" t="s">
        <v>115</v>
      </c>
      <c r="AP88" s="28"/>
      <c r="AQ88" s="28"/>
      <c r="AR88" s="28"/>
      <c r="AS88" s="28"/>
      <c r="AT88" s="28"/>
    </row>
    <row r="89" spans="1:46" s="10" customFormat="1" ht="18" customHeight="1">
      <c r="A89" s="5"/>
      <c r="B89" s="86"/>
      <c r="C89" s="98" t="s">
        <v>249</v>
      </c>
      <c r="D89" s="1357" t="s">
        <v>150</v>
      </c>
      <c r="E89" s="1357" t="s">
        <v>150</v>
      </c>
      <c r="F89" s="517" t="s">
        <v>154</v>
      </c>
      <c r="G89" s="153" t="s">
        <v>155</v>
      </c>
      <c r="H89" s="31">
        <v>11153802</v>
      </c>
      <c r="I89" s="90">
        <f>H89/H27</f>
        <v>0.13148579117792483</v>
      </c>
      <c r="J89" s="31">
        <v>8544645</v>
      </c>
      <c r="K89" s="90">
        <f>J89/J27</f>
        <v>0.11583976396588187</v>
      </c>
      <c r="L89" s="31">
        <v>13214386</v>
      </c>
      <c r="M89" s="661">
        <f>L89/L27</f>
        <v>0.12998612029983048</v>
      </c>
      <c r="N89" s="89">
        <f t="shared" si="53"/>
        <v>32912833</v>
      </c>
      <c r="O89" s="34">
        <f>N89/N27</f>
        <v>0.12646546175633525</v>
      </c>
      <c r="P89" s="31">
        <v>12405624</v>
      </c>
      <c r="Q89" s="90">
        <f>P89/P27</f>
        <v>0.12152929117102419</v>
      </c>
      <c r="R89" s="31">
        <v>16454903</v>
      </c>
      <c r="S89" s="90">
        <f>R89/R27</f>
        <v>0.17862800723461264</v>
      </c>
      <c r="T89" s="31"/>
      <c r="U89" s="661" t="e">
        <f>T89/T27</f>
        <v>#DIV/0!</v>
      </c>
      <c r="V89" s="101">
        <f t="shared" si="50"/>
        <v>28860527</v>
      </c>
      <c r="W89" s="34">
        <f>V89/$V$27</f>
        <v>0.14861426015224641</v>
      </c>
      <c r="X89" s="31"/>
      <c r="Y89" s="90" t="e">
        <f>X89/X27</f>
        <v>#DIV/0!</v>
      </c>
      <c r="Z89" s="31"/>
      <c r="AA89" s="90" t="e">
        <f>Z89/Z27</f>
        <v>#DIV/0!</v>
      </c>
      <c r="AB89" s="31"/>
      <c r="AC89" s="661" t="e">
        <f>AB89/AB27</f>
        <v>#DIV/0!</v>
      </c>
      <c r="AD89" s="89">
        <f t="shared" si="51"/>
        <v>0</v>
      </c>
      <c r="AE89" s="34">
        <f>AD89/$V$27</f>
        <v>0</v>
      </c>
      <c r="AF89" s="31"/>
      <c r="AG89" s="90" t="e">
        <f>AF89/AF27</f>
        <v>#DIV/0!</v>
      </c>
      <c r="AH89" s="31"/>
      <c r="AI89" s="90" t="e">
        <f>AH89/AH27</f>
        <v>#DIV/0!</v>
      </c>
      <c r="AJ89" s="31"/>
      <c r="AK89" s="661" t="e">
        <f>AJ89/AJ27</f>
        <v>#DIV/0!</v>
      </c>
      <c r="AL89" s="101">
        <f t="shared" si="52"/>
        <v>0</v>
      </c>
      <c r="AM89" s="34">
        <f>AL89/$V$27</f>
        <v>0</v>
      </c>
      <c r="AN89" s="585">
        <f t="shared" si="25"/>
        <v>61773360</v>
      </c>
      <c r="AO89" s="40"/>
      <c r="AP89" s="28"/>
      <c r="AQ89" s="28"/>
      <c r="AR89" s="28"/>
      <c r="AS89" s="28"/>
      <c r="AT89" s="28"/>
    </row>
    <row r="90" spans="1:46" s="10" customFormat="1" ht="18" customHeight="1">
      <c r="A90" s="5"/>
      <c r="B90" s="86"/>
      <c r="C90" s="98" t="s">
        <v>249</v>
      </c>
      <c r="D90" s="1156" t="s">
        <v>502</v>
      </c>
      <c r="E90" s="1157"/>
      <c r="F90" s="1157"/>
      <c r="G90" s="1158"/>
      <c r="H90" s="596">
        <f>SUM(H87:H89)</f>
        <v>11274742</v>
      </c>
      <c r="I90" s="565"/>
      <c r="J90" s="566">
        <f>SUM(J87:J89)</f>
        <v>8653865</v>
      </c>
      <c r="K90" s="565"/>
      <c r="L90" s="566">
        <f>SUM(L87:L89)</f>
        <v>13301966</v>
      </c>
      <c r="M90" s="677"/>
      <c r="N90" s="597">
        <f t="shared" si="53"/>
        <v>33230573</v>
      </c>
      <c r="O90" s="598"/>
      <c r="P90" s="566">
        <f>SUM(P87:P89)</f>
        <v>12498354</v>
      </c>
      <c r="Q90" s="565"/>
      <c r="R90" s="566">
        <f>SUM(R87:R89)</f>
        <v>16571443</v>
      </c>
      <c r="S90" s="565"/>
      <c r="T90" s="566">
        <f>SUM(T87:T89)</f>
        <v>0</v>
      </c>
      <c r="U90" s="677"/>
      <c r="V90" s="567">
        <f t="shared" si="50"/>
        <v>29069797</v>
      </c>
      <c r="W90" s="598"/>
      <c r="X90" s="566">
        <f>SUM(X87:X89)</f>
        <v>0</v>
      </c>
      <c r="Y90" s="565"/>
      <c r="Z90" s="566">
        <f>SUM(Z87:Z89)</f>
        <v>0</v>
      </c>
      <c r="AA90" s="565"/>
      <c r="AB90" s="566">
        <f>SUM(AB87:AB89)</f>
        <v>0</v>
      </c>
      <c r="AC90" s="677"/>
      <c r="AD90" s="597">
        <f t="shared" si="51"/>
        <v>0</v>
      </c>
      <c r="AE90" s="598"/>
      <c r="AF90" s="566">
        <f>SUM(AF87:AF89)</f>
        <v>0</v>
      </c>
      <c r="AG90" s="565"/>
      <c r="AH90" s="566">
        <f>SUM(AH87:AH89)</f>
        <v>0</v>
      </c>
      <c r="AI90" s="565"/>
      <c r="AJ90" s="566">
        <f>SUM(AJ87:AJ89)</f>
        <v>0</v>
      </c>
      <c r="AK90" s="677"/>
      <c r="AL90" s="567">
        <f t="shared" si="52"/>
        <v>0</v>
      </c>
      <c r="AM90" s="598"/>
      <c r="AN90" s="567">
        <f t="shared" ref="AN90:AN121" si="54">SUM(N90+V90+AD90+AL90)</f>
        <v>62300370</v>
      </c>
      <c r="AO90" s="491"/>
      <c r="AP90" s="28"/>
      <c r="AQ90" s="28"/>
      <c r="AR90" s="28"/>
      <c r="AS90" s="28"/>
      <c r="AT90" s="28"/>
    </row>
    <row r="91" spans="1:46" s="10" customFormat="1" ht="18" customHeight="1">
      <c r="A91" s="5"/>
      <c r="B91" s="86"/>
      <c r="C91" s="98" t="s">
        <v>249</v>
      </c>
      <c r="D91" s="538" t="s">
        <v>156</v>
      </c>
      <c r="E91" s="538" t="s">
        <v>156</v>
      </c>
      <c r="F91" s="539" t="s">
        <v>157</v>
      </c>
      <c r="G91" s="133" t="s">
        <v>158</v>
      </c>
      <c r="H91" s="31">
        <f>4782920-424395</f>
        <v>4358525</v>
      </c>
      <c r="I91" s="90">
        <f>H91/H27</f>
        <v>5.138015790434193E-2</v>
      </c>
      <c r="J91" s="31">
        <f>5125330-454778</f>
        <v>4670552</v>
      </c>
      <c r="K91" s="90">
        <f>J91/J27</f>
        <v>6.3318679859769189E-2</v>
      </c>
      <c r="L91" s="31">
        <v>3840989</v>
      </c>
      <c r="M91" s="661">
        <f>L91/L27</f>
        <v>3.7782705774171088E-2</v>
      </c>
      <c r="N91" s="89">
        <f t="shared" si="53"/>
        <v>12870066</v>
      </c>
      <c r="O91" s="34">
        <f>N91/N27</f>
        <v>4.9452407804715881E-2</v>
      </c>
      <c r="P91" s="31">
        <v>3588558</v>
      </c>
      <c r="Q91" s="90">
        <f>P91/P27</f>
        <v>3.515461294539543E-2</v>
      </c>
      <c r="R91" s="31">
        <v>3430753</v>
      </c>
      <c r="S91" s="90">
        <f>R91/R27</f>
        <v>3.7242916090369477E-2</v>
      </c>
      <c r="T91" s="31"/>
      <c r="U91" s="661" t="e">
        <f>T91/T27</f>
        <v>#DIV/0!</v>
      </c>
      <c r="V91" s="101">
        <f t="shared" si="50"/>
        <v>7019311</v>
      </c>
      <c r="W91" s="34">
        <f>V91/$V$27</f>
        <v>3.6145206601512332E-2</v>
      </c>
      <c r="X91" s="31"/>
      <c r="Y91" s="90" t="e">
        <f>X91/X27</f>
        <v>#DIV/0!</v>
      </c>
      <c r="Z91" s="31"/>
      <c r="AA91" s="90" t="e">
        <f>Z91/Z27</f>
        <v>#DIV/0!</v>
      </c>
      <c r="AB91" s="31"/>
      <c r="AC91" s="661" t="e">
        <f>AB91/AB27</f>
        <v>#DIV/0!</v>
      </c>
      <c r="AD91" s="89">
        <f t="shared" si="51"/>
        <v>0</v>
      </c>
      <c r="AE91" s="34">
        <f>AD91/$V$27</f>
        <v>0</v>
      </c>
      <c r="AF91" s="31"/>
      <c r="AG91" s="90" t="e">
        <f>AF91/AF27</f>
        <v>#DIV/0!</v>
      </c>
      <c r="AH91" s="31"/>
      <c r="AI91" s="90" t="e">
        <f>AH91/AH27</f>
        <v>#DIV/0!</v>
      </c>
      <c r="AJ91" s="31"/>
      <c r="AK91" s="661" t="e">
        <f>AJ91/AJ27</f>
        <v>#DIV/0!</v>
      </c>
      <c r="AL91" s="101">
        <f t="shared" si="52"/>
        <v>0</v>
      </c>
      <c r="AM91" s="34">
        <f>AL91/$V$27</f>
        <v>0</v>
      </c>
      <c r="AN91" s="585">
        <f t="shared" si="54"/>
        <v>19889377</v>
      </c>
      <c r="AO91" s="40" t="s">
        <v>159</v>
      </c>
      <c r="AP91" s="140" t="s">
        <v>160</v>
      </c>
      <c r="AQ91" s="28"/>
      <c r="AR91" s="28"/>
      <c r="AS91" s="28"/>
      <c r="AT91" s="28"/>
    </row>
    <row r="92" spans="1:46" s="10" customFormat="1" ht="18" customHeight="1">
      <c r="A92" s="5"/>
      <c r="B92" s="86"/>
      <c r="C92" s="98" t="s">
        <v>249</v>
      </c>
      <c r="D92" s="1153" t="s">
        <v>501</v>
      </c>
      <c r="E92" s="1154"/>
      <c r="F92" s="1154"/>
      <c r="G92" s="1155"/>
      <c r="H92" s="599">
        <f>SUM(H91)</f>
        <v>4358525</v>
      </c>
      <c r="I92" s="600"/>
      <c r="J92" s="599">
        <f>SUM(J91)</f>
        <v>4670552</v>
      </c>
      <c r="K92" s="600"/>
      <c r="L92" s="599">
        <f>SUM(L91)</f>
        <v>3840989</v>
      </c>
      <c r="M92" s="678"/>
      <c r="N92" s="601">
        <f t="shared" si="53"/>
        <v>12870066</v>
      </c>
      <c r="O92" s="602"/>
      <c r="P92" s="599">
        <f>SUM(P91)</f>
        <v>3588558</v>
      </c>
      <c r="Q92" s="600"/>
      <c r="R92" s="599">
        <f>SUM(R91)</f>
        <v>3430753</v>
      </c>
      <c r="S92" s="600"/>
      <c r="T92" s="599">
        <f>SUM(T91)</f>
        <v>0</v>
      </c>
      <c r="U92" s="678"/>
      <c r="V92" s="603">
        <f t="shared" si="50"/>
        <v>7019311</v>
      </c>
      <c r="W92" s="602"/>
      <c r="X92" s="599">
        <f>SUM(X91)</f>
        <v>0</v>
      </c>
      <c r="Y92" s="600"/>
      <c r="Z92" s="599">
        <f>SUM(Z91)</f>
        <v>0</v>
      </c>
      <c r="AA92" s="600"/>
      <c r="AB92" s="599">
        <f>SUM(AB91)</f>
        <v>0</v>
      </c>
      <c r="AC92" s="678"/>
      <c r="AD92" s="601">
        <f t="shared" si="51"/>
        <v>0</v>
      </c>
      <c r="AE92" s="602"/>
      <c r="AF92" s="599">
        <f>SUM(AF91)</f>
        <v>0</v>
      </c>
      <c r="AG92" s="600"/>
      <c r="AH92" s="599">
        <f>SUM(AH91)</f>
        <v>0</v>
      </c>
      <c r="AI92" s="600"/>
      <c r="AJ92" s="599">
        <f>SUM(AJ91)</f>
        <v>0</v>
      </c>
      <c r="AK92" s="678"/>
      <c r="AL92" s="603">
        <f t="shared" si="52"/>
        <v>0</v>
      </c>
      <c r="AM92" s="602"/>
      <c r="AN92" s="603">
        <f t="shared" si="54"/>
        <v>19889377</v>
      </c>
      <c r="AO92" s="604"/>
      <c r="AP92" s="140"/>
      <c r="AQ92" s="28"/>
      <c r="AR92" s="28"/>
      <c r="AS92" s="28"/>
      <c r="AT92" s="28"/>
    </row>
    <row r="93" spans="1:46" s="10" customFormat="1" ht="18" customHeight="1">
      <c r="A93" s="5"/>
      <c r="B93" s="86"/>
      <c r="C93" s="98" t="s">
        <v>249</v>
      </c>
      <c r="D93" s="1358" t="s">
        <v>161</v>
      </c>
      <c r="E93" s="1358" t="s">
        <v>161</v>
      </c>
      <c r="F93" s="135" t="s">
        <v>162</v>
      </c>
      <c r="G93" s="133" t="s">
        <v>695</v>
      </c>
      <c r="H93" s="31">
        <v>54560</v>
      </c>
      <c r="I93" s="137"/>
      <c r="J93" s="31">
        <v>0</v>
      </c>
      <c r="K93" s="137"/>
      <c r="L93" s="31">
        <v>0</v>
      </c>
      <c r="M93" s="676"/>
      <c r="N93" s="89">
        <f t="shared" si="49"/>
        <v>54560</v>
      </c>
      <c r="O93" s="136"/>
      <c r="P93" s="31">
        <v>59240</v>
      </c>
      <c r="Q93" s="137"/>
      <c r="R93" s="31">
        <v>0</v>
      </c>
      <c r="S93" s="137"/>
      <c r="T93" s="31"/>
      <c r="U93" s="676"/>
      <c r="V93" s="101">
        <f t="shared" si="50"/>
        <v>59240</v>
      </c>
      <c r="W93" s="136"/>
      <c r="X93" s="31"/>
      <c r="Y93" s="137"/>
      <c r="Z93" s="31"/>
      <c r="AA93" s="137"/>
      <c r="AB93" s="31"/>
      <c r="AC93" s="676"/>
      <c r="AD93" s="89">
        <f t="shared" si="51"/>
        <v>0</v>
      </c>
      <c r="AE93" s="136"/>
      <c r="AF93" s="31"/>
      <c r="AG93" s="137"/>
      <c r="AH93" s="31"/>
      <c r="AI93" s="137"/>
      <c r="AJ93" s="31"/>
      <c r="AK93" s="676"/>
      <c r="AL93" s="101">
        <f t="shared" si="52"/>
        <v>0</v>
      </c>
      <c r="AM93" s="136"/>
      <c r="AN93" s="585">
        <f t="shared" si="54"/>
        <v>113800</v>
      </c>
      <c r="AO93" s="105" t="s">
        <v>115</v>
      </c>
      <c r="AP93" s="141"/>
      <c r="AQ93" s="28"/>
      <c r="AR93" s="28"/>
      <c r="AS93" s="28"/>
      <c r="AT93" s="28"/>
    </row>
    <row r="94" spans="1:46" s="10" customFormat="1" ht="18" hidden="1" customHeight="1">
      <c r="A94" s="5"/>
      <c r="B94" s="86"/>
      <c r="C94" s="98" t="s">
        <v>249</v>
      </c>
      <c r="D94" s="1354"/>
      <c r="E94" s="1358" t="s">
        <v>161</v>
      </c>
      <c r="F94" s="135" t="s">
        <v>162</v>
      </c>
      <c r="G94" s="133" t="s">
        <v>164</v>
      </c>
      <c r="H94" s="31">
        <v>0</v>
      </c>
      <c r="I94" s="137"/>
      <c r="J94" s="31"/>
      <c r="K94" s="137"/>
      <c r="L94" s="31"/>
      <c r="M94" s="676"/>
      <c r="N94" s="89">
        <f t="shared" si="49"/>
        <v>0</v>
      </c>
      <c r="O94" s="136"/>
      <c r="P94" s="31"/>
      <c r="Q94" s="137"/>
      <c r="R94" s="31"/>
      <c r="S94" s="137"/>
      <c r="T94" s="31"/>
      <c r="U94" s="676"/>
      <c r="V94" s="101">
        <f t="shared" si="50"/>
        <v>0</v>
      </c>
      <c r="W94" s="136"/>
      <c r="X94" s="31"/>
      <c r="Y94" s="137"/>
      <c r="Z94" s="31"/>
      <c r="AA94" s="137"/>
      <c r="AB94" s="31"/>
      <c r="AC94" s="676"/>
      <c r="AD94" s="89">
        <f t="shared" si="51"/>
        <v>0</v>
      </c>
      <c r="AE94" s="136"/>
      <c r="AF94" s="31"/>
      <c r="AG94" s="137"/>
      <c r="AH94" s="31"/>
      <c r="AI94" s="137"/>
      <c r="AJ94" s="31"/>
      <c r="AK94" s="676"/>
      <c r="AL94" s="101">
        <f t="shared" si="52"/>
        <v>0</v>
      </c>
      <c r="AM94" s="136"/>
      <c r="AN94" s="585">
        <f t="shared" si="54"/>
        <v>0</v>
      </c>
      <c r="AO94" s="105" t="s">
        <v>115</v>
      </c>
      <c r="AP94" s="28"/>
      <c r="AQ94" s="28"/>
      <c r="AR94" s="28"/>
      <c r="AS94" s="28"/>
      <c r="AT94" s="28"/>
    </row>
    <row r="95" spans="1:46" s="10" customFormat="1" ht="18" hidden="1" customHeight="1">
      <c r="A95" s="5"/>
      <c r="B95" s="86"/>
      <c r="C95" s="98" t="s">
        <v>249</v>
      </c>
      <c r="D95" s="1354"/>
      <c r="E95" s="1358" t="s">
        <v>161</v>
      </c>
      <c r="F95" s="535" t="s">
        <v>162</v>
      </c>
      <c r="G95" s="133" t="s">
        <v>165</v>
      </c>
      <c r="H95" s="31">
        <v>0</v>
      </c>
      <c r="I95" s="137"/>
      <c r="J95" s="31"/>
      <c r="K95" s="137"/>
      <c r="L95" s="31"/>
      <c r="M95" s="676"/>
      <c r="N95" s="89">
        <f t="shared" si="49"/>
        <v>0</v>
      </c>
      <c r="O95" s="136"/>
      <c r="P95" s="31"/>
      <c r="Q95" s="137"/>
      <c r="R95" s="31"/>
      <c r="S95" s="137"/>
      <c r="T95" s="31"/>
      <c r="U95" s="676"/>
      <c r="V95" s="101">
        <f t="shared" si="50"/>
        <v>0</v>
      </c>
      <c r="W95" s="136"/>
      <c r="X95" s="31"/>
      <c r="Y95" s="137"/>
      <c r="Z95" s="31"/>
      <c r="AA95" s="137"/>
      <c r="AB95" s="31"/>
      <c r="AC95" s="676"/>
      <c r="AD95" s="89">
        <f t="shared" si="51"/>
        <v>0</v>
      </c>
      <c r="AE95" s="136"/>
      <c r="AF95" s="31"/>
      <c r="AG95" s="137"/>
      <c r="AH95" s="31"/>
      <c r="AI95" s="137"/>
      <c r="AJ95" s="31"/>
      <c r="AK95" s="676"/>
      <c r="AL95" s="101">
        <f t="shared" si="52"/>
        <v>0</v>
      </c>
      <c r="AM95" s="136"/>
      <c r="AN95" s="585">
        <f t="shared" si="54"/>
        <v>0</v>
      </c>
      <c r="AO95" s="105" t="s">
        <v>115</v>
      </c>
      <c r="AP95" s="141"/>
      <c r="AQ95" s="28"/>
      <c r="AR95" s="28"/>
      <c r="AS95" s="28"/>
      <c r="AT95" s="28"/>
    </row>
    <row r="96" spans="1:46" s="10" customFormat="1" ht="18" customHeight="1">
      <c r="A96" s="5"/>
      <c r="B96" s="86"/>
      <c r="C96" s="98" t="s">
        <v>249</v>
      </c>
      <c r="D96" s="1358" t="s">
        <v>161</v>
      </c>
      <c r="E96" s="1358" t="s">
        <v>161</v>
      </c>
      <c r="F96" s="535" t="s">
        <v>166</v>
      </c>
      <c r="G96" s="133" t="s">
        <v>167</v>
      </c>
      <c r="H96" s="31">
        <v>45800</v>
      </c>
      <c r="I96" s="137"/>
      <c r="J96" s="31">
        <v>0</v>
      </c>
      <c r="K96" s="137"/>
      <c r="L96" s="31">
        <v>0</v>
      </c>
      <c r="M96" s="676"/>
      <c r="N96" s="89">
        <f t="shared" si="49"/>
        <v>45800</v>
      </c>
      <c r="O96" s="136"/>
      <c r="P96" s="31">
        <v>0</v>
      </c>
      <c r="Q96" s="137"/>
      <c r="R96" s="31">
        <v>0</v>
      </c>
      <c r="S96" s="137"/>
      <c r="T96" s="31"/>
      <c r="U96" s="676"/>
      <c r="V96" s="101">
        <f t="shared" si="50"/>
        <v>0</v>
      </c>
      <c r="W96" s="136"/>
      <c r="X96" s="31"/>
      <c r="Y96" s="137"/>
      <c r="Z96" s="31"/>
      <c r="AA96" s="137"/>
      <c r="AB96" s="31"/>
      <c r="AC96" s="676"/>
      <c r="AD96" s="89">
        <f t="shared" si="51"/>
        <v>0</v>
      </c>
      <c r="AE96" s="136"/>
      <c r="AF96" s="31"/>
      <c r="AG96" s="137"/>
      <c r="AH96" s="31"/>
      <c r="AI96" s="137"/>
      <c r="AJ96" s="31"/>
      <c r="AK96" s="676"/>
      <c r="AL96" s="101">
        <f t="shared" si="52"/>
        <v>0</v>
      </c>
      <c r="AM96" s="136"/>
      <c r="AN96" s="585">
        <f t="shared" si="54"/>
        <v>45800</v>
      </c>
      <c r="AO96" s="105" t="s">
        <v>115</v>
      </c>
      <c r="AP96" s="28"/>
      <c r="AQ96" s="28"/>
      <c r="AR96" s="28"/>
      <c r="AS96" s="28"/>
      <c r="AT96" s="28"/>
    </row>
    <row r="97" spans="1:46" s="10" customFormat="1" ht="18" customHeight="1">
      <c r="A97" s="5"/>
      <c r="B97" s="86"/>
      <c r="C97" s="98" t="s">
        <v>249</v>
      </c>
      <c r="D97" s="1358" t="s">
        <v>161</v>
      </c>
      <c r="E97" s="1358" t="s">
        <v>161</v>
      </c>
      <c r="F97" s="535" t="s">
        <v>162</v>
      </c>
      <c r="G97" s="133" t="s">
        <v>168</v>
      </c>
      <c r="H97" s="31">
        <v>9000</v>
      </c>
      <c r="I97" s="137"/>
      <c r="J97" s="31">
        <v>0</v>
      </c>
      <c r="K97" s="137"/>
      <c r="L97" s="31">
        <v>0</v>
      </c>
      <c r="M97" s="676"/>
      <c r="N97" s="89">
        <f t="shared" si="49"/>
        <v>9000</v>
      </c>
      <c r="O97" s="136"/>
      <c r="P97" s="31">
        <v>0</v>
      </c>
      <c r="Q97" s="137"/>
      <c r="R97" s="31">
        <v>0</v>
      </c>
      <c r="S97" s="137"/>
      <c r="T97" s="31"/>
      <c r="U97" s="676"/>
      <c r="V97" s="101">
        <f t="shared" si="50"/>
        <v>0</v>
      </c>
      <c r="W97" s="136"/>
      <c r="X97" s="31"/>
      <c r="Y97" s="137"/>
      <c r="Z97" s="31"/>
      <c r="AA97" s="137"/>
      <c r="AB97" s="31"/>
      <c r="AC97" s="676"/>
      <c r="AD97" s="89">
        <f t="shared" si="51"/>
        <v>0</v>
      </c>
      <c r="AE97" s="136"/>
      <c r="AF97" s="31"/>
      <c r="AG97" s="137"/>
      <c r="AH97" s="31"/>
      <c r="AI97" s="137"/>
      <c r="AJ97" s="31"/>
      <c r="AK97" s="676"/>
      <c r="AL97" s="101">
        <f t="shared" si="52"/>
        <v>0</v>
      </c>
      <c r="AM97" s="136"/>
      <c r="AN97" s="585">
        <f t="shared" si="54"/>
        <v>9000</v>
      </c>
      <c r="AO97" s="105" t="s">
        <v>115</v>
      </c>
      <c r="AP97" s="28"/>
      <c r="AQ97" s="28"/>
      <c r="AR97" s="28"/>
      <c r="AS97" s="28"/>
      <c r="AT97" s="28"/>
    </row>
    <row r="98" spans="1:46" s="10" customFormat="1" ht="18" customHeight="1">
      <c r="A98" s="5"/>
      <c r="B98" s="86"/>
      <c r="C98" s="98" t="s">
        <v>249</v>
      </c>
      <c r="D98" s="1358" t="s">
        <v>161</v>
      </c>
      <c r="E98" s="1358" t="s">
        <v>161</v>
      </c>
      <c r="F98" s="535" t="s">
        <v>162</v>
      </c>
      <c r="G98" s="133" t="s">
        <v>169</v>
      </c>
      <c r="H98" s="31">
        <v>4500</v>
      </c>
      <c r="I98" s="137"/>
      <c r="J98" s="31">
        <v>0</v>
      </c>
      <c r="K98" s="137"/>
      <c r="L98" s="31">
        <v>0</v>
      </c>
      <c r="M98" s="676"/>
      <c r="N98" s="89">
        <f t="shared" si="49"/>
        <v>4500</v>
      </c>
      <c r="O98" s="136"/>
      <c r="P98" s="31">
        <v>0</v>
      </c>
      <c r="Q98" s="137"/>
      <c r="R98" s="31">
        <v>0</v>
      </c>
      <c r="S98" s="137"/>
      <c r="T98" s="31"/>
      <c r="U98" s="676"/>
      <c r="V98" s="101">
        <f t="shared" si="50"/>
        <v>0</v>
      </c>
      <c r="W98" s="136"/>
      <c r="X98" s="31"/>
      <c r="Y98" s="137"/>
      <c r="Z98" s="31"/>
      <c r="AA98" s="137"/>
      <c r="AB98" s="31"/>
      <c r="AC98" s="676"/>
      <c r="AD98" s="89">
        <f t="shared" si="51"/>
        <v>0</v>
      </c>
      <c r="AE98" s="136"/>
      <c r="AF98" s="31"/>
      <c r="AG98" s="137"/>
      <c r="AH98" s="31"/>
      <c r="AI98" s="137"/>
      <c r="AJ98" s="31"/>
      <c r="AK98" s="676"/>
      <c r="AL98" s="101">
        <f t="shared" si="52"/>
        <v>0</v>
      </c>
      <c r="AM98" s="136"/>
      <c r="AN98" s="585">
        <f t="shared" si="54"/>
        <v>4500</v>
      </c>
      <c r="AO98" s="105" t="s">
        <v>115</v>
      </c>
      <c r="AP98" s="28"/>
      <c r="AQ98" s="28"/>
      <c r="AR98" s="28"/>
      <c r="AS98" s="28"/>
      <c r="AT98" s="28"/>
    </row>
    <row r="99" spans="1:46" s="10" customFormat="1" ht="18" customHeight="1">
      <c r="A99" s="5"/>
      <c r="B99" s="86"/>
      <c r="C99" s="98" t="s">
        <v>249</v>
      </c>
      <c r="D99" s="1065" t="s">
        <v>505</v>
      </c>
      <c r="E99" s="1066"/>
      <c r="F99" s="1066"/>
      <c r="G99" s="1067"/>
      <c r="H99" s="605">
        <f>SUM(H93:H98)</f>
        <v>113860</v>
      </c>
      <c r="I99" s="606"/>
      <c r="J99" s="605">
        <f>SUM(J93:J98)</f>
        <v>0</v>
      </c>
      <c r="K99" s="606"/>
      <c r="L99" s="605">
        <f>SUM(L93:L98)</f>
        <v>0</v>
      </c>
      <c r="M99" s="679"/>
      <c r="N99" s="607">
        <f t="shared" si="49"/>
        <v>113860</v>
      </c>
      <c r="O99" s="608"/>
      <c r="P99" s="605">
        <f>SUM(P93:P98)</f>
        <v>59240</v>
      </c>
      <c r="Q99" s="606"/>
      <c r="R99" s="605">
        <f>SUM(R93:R98)</f>
        <v>0</v>
      </c>
      <c r="S99" s="606"/>
      <c r="T99" s="605">
        <f>SUM(T93:T98)</f>
        <v>0</v>
      </c>
      <c r="U99" s="679"/>
      <c r="V99" s="609">
        <f t="shared" si="50"/>
        <v>59240</v>
      </c>
      <c r="W99" s="608"/>
      <c r="X99" s="605">
        <f>SUM(X93:X98)</f>
        <v>0</v>
      </c>
      <c r="Y99" s="606"/>
      <c r="Z99" s="605">
        <f>SUM(Z93:Z98)</f>
        <v>0</v>
      </c>
      <c r="AA99" s="606"/>
      <c r="AB99" s="605">
        <f>SUM(AB93:AB98)</f>
        <v>0</v>
      </c>
      <c r="AC99" s="679"/>
      <c r="AD99" s="607">
        <f t="shared" si="51"/>
        <v>0</v>
      </c>
      <c r="AE99" s="608"/>
      <c r="AF99" s="605">
        <f>SUM(AF93:AF98)</f>
        <v>0</v>
      </c>
      <c r="AG99" s="606"/>
      <c r="AH99" s="605">
        <f>SUM(AH93:AH98)</f>
        <v>0</v>
      </c>
      <c r="AI99" s="606"/>
      <c r="AJ99" s="605">
        <f>SUM(AJ93:AJ98)</f>
        <v>0</v>
      </c>
      <c r="AK99" s="679"/>
      <c r="AL99" s="609">
        <f t="shared" si="52"/>
        <v>0</v>
      </c>
      <c r="AM99" s="608"/>
      <c r="AN99" s="609">
        <f t="shared" si="54"/>
        <v>173100</v>
      </c>
      <c r="AO99" s="610"/>
      <c r="AP99" s="28"/>
      <c r="AQ99" s="28"/>
      <c r="AR99" s="28"/>
      <c r="AS99" s="28"/>
      <c r="AT99" s="28"/>
    </row>
    <row r="100" spans="1:46" s="10" customFormat="1" ht="18" customHeight="1">
      <c r="A100" s="5"/>
      <c r="B100" s="86"/>
      <c r="C100" s="98" t="s">
        <v>249</v>
      </c>
      <c r="D100" s="1359" t="s">
        <v>139</v>
      </c>
      <c r="E100" s="1359" t="s">
        <v>652</v>
      </c>
      <c r="F100" s="537" t="s">
        <v>144</v>
      </c>
      <c r="G100" s="88" t="s">
        <v>648</v>
      </c>
      <c r="H100" s="93">
        <v>600000</v>
      </c>
      <c r="I100" s="90"/>
      <c r="J100" s="93">
        <v>600000</v>
      </c>
      <c r="K100" s="90"/>
      <c r="L100" s="93">
        <v>1920000</v>
      </c>
      <c r="M100" s="661"/>
      <c r="N100" s="89">
        <f t="shared" si="49"/>
        <v>3120000</v>
      </c>
      <c r="O100" s="34"/>
      <c r="P100" s="860">
        <v>3800000</v>
      </c>
      <c r="Q100" s="90"/>
      <c r="R100" s="93">
        <v>3800000</v>
      </c>
      <c r="S100" s="90"/>
      <c r="T100" s="93"/>
      <c r="U100" s="661"/>
      <c r="V100" s="101">
        <f t="shared" si="50"/>
        <v>7600000</v>
      </c>
      <c r="W100" s="34"/>
      <c r="X100" s="93"/>
      <c r="Y100" s="90"/>
      <c r="Z100" s="93"/>
      <c r="AA100" s="90"/>
      <c r="AB100" s="93"/>
      <c r="AC100" s="661"/>
      <c r="AD100" s="89">
        <f t="shared" si="51"/>
        <v>0</v>
      </c>
      <c r="AE100" s="34"/>
      <c r="AF100" s="93"/>
      <c r="AG100" s="90"/>
      <c r="AH100" s="93"/>
      <c r="AI100" s="90"/>
      <c r="AJ100" s="93"/>
      <c r="AK100" s="661"/>
      <c r="AL100" s="101">
        <f t="shared" si="52"/>
        <v>0</v>
      </c>
      <c r="AM100" s="34"/>
      <c r="AN100" s="585">
        <f t="shared" si="54"/>
        <v>10720000</v>
      </c>
      <c r="AO100" s="40"/>
      <c r="AP100" s="71" t="s">
        <v>708</v>
      </c>
      <c r="AQ100" s="28"/>
      <c r="AR100" s="28"/>
      <c r="AS100" s="28"/>
      <c r="AT100" s="28"/>
    </row>
    <row r="101" spans="1:46" s="10" customFormat="1" ht="18" customHeight="1">
      <c r="A101" s="5"/>
      <c r="B101" s="86"/>
      <c r="C101" s="98" t="s">
        <v>249</v>
      </c>
      <c r="D101" s="1359" t="s">
        <v>139</v>
      </c>
      <c r="E101" s="1359" t="s">
        <v>652</v>
      </c>
      <c r="F101" s="537" t="s">
        <v>144</v>
      </c>
      <c r="G101" s="88" t="s">
        <v>585</v>
      </c>
      <c r="H101" s="93">
        <v>2750000</v>
      </c>
      <c r="I101" s="90"/>
      <c r="J101" s="93">
        <v>2500000</v>
      </c>
      <c r="K101" s="90"/>
      <c r="L101" s="93">
        <v>2500000</v>
      </c>
      <c r="M101" s="661"/>
      <c r="N101" s="89">
        <f t="shared" si="49"/>
        <v>7750000</v>
      </c>
      <c r="O101" s="34"/>
      <c r="P101" s="93">
        <v>0</v>
      </c>
      <c r="Q101" s="90"/>
      <c r="R101" s="93">
        <v>0</v>
      </c>
      <c r="S101" s="90"/>
      <c r="T101" s="93"/>
      <c r="U101" s="661"/>
      <c r="V101" s="101">
        <f t="shared" si="50"/>
        <v>0</v>
      </c>
      <c r="W101" s="34"/>
      <c r="X101" s="93"/>
      <c r="Y101" s="90"/>
      <c r="Z101" s="93"/>
      <c r="AA101" s="90"/>
      <c r="AB101" s="93"/>
      <c r="AC101" s="661"/>
      <c r="AD101" s="89">
        <f t="shared" si="51"/>
        <v>0</v>
      </c>
      <c r="AE101" s="34"/>
      <c r="AF101" s="93"/>
      <c r="AG101" s="90"/>
      <c r="AH101" s="93"/>
      <c r="AI101" s="90"/>
      <c r="AJ101" s="93"/>
      <c r="AK101" s="661"/>
      <c r="AL101" s="101">
        <f t="shared" si="52"/>
        <v>0</v>
      </c>
      <c r="AM101" s="34"/>
      <c r="AN101" s="585">
        <f t="shared" si="54"/>
        <v>7750000</v>
      </c>
      <c r="AO101" s="40"/>
      <c r="AP101" s="71" t="s">
        <v>709</v>
      </c>
      <c r="AQ101" s="28"/>
      <c r="AR101" s="28"/>
      <c r="AS101" s="28"/>
      <c r="AT101" s="28"/>
    </row>
    <row r="102" spans="1:46" s="10" customFormat="1" ht="18" customHeight="1">
      <c r="A102" s="5"/>
      <c r="B102" s="86"/>
      <c r="C102" s="98" t="s">
        <v>249</v>
      </c>
      <c r="D102" s="1359" t="s">
        <v>139</v>
      </c>
      <c r="E102" s="1359" t="s">
        <v>652</v>
      </c>
      <c r="F102" s="537" t="s">
        <v>146</v>
      </c>
      <c r="G102" s="88" t="s">
        <v>147</v>
      </c>
      <c r="H102" s="93">
        <v>5600000</v>
      </c>
      <c r="I102" s="90"/>
      <c r="J102" s="93">
        <v>5600000</v>
      </c>
      <c r="K102" s="90"/>
      <c r="L102" s="93">
        <v>5600000</v>
      </c>
      <c r="M102" s="661"/>
      <c r="N102" s="89">
        <f t="shared" si="49"/>
        <v>16800000</v>
      </c>
      <c r="O102" s="34"/>
      <c r="P102" s="93">
        <v>5600000</v>
      </c>
      <c r="Q102" s="90"/>
      <c r="R102" s="93">
        <v>5600000</v>
      </c>
      <c r="S102" s="90"/>
      <c r="T102" s="93"/>
      <c r="U102" s="661"/>
      <c r="V102" s="101">
        <f t="shared" si="50"/>
        <v>11200000</v>
      </c>
      <c r="W102" s="34"/>
      <c r="X102" s="93"/>
      <c r="Y102" s="90"/>
      <c r="Z102" s="93"/>
      <c r="AA102" s="90"/>
      <c r="AB102" s="93"/>
      <c r="AC102" s="661"/>
      <c r="AD102" s="89">
        <f t="shared" si="51"/>
        <v>0</v>
      </c>
      <c r="AE102" s="34"/>
      <c r="AF102" s="93"/>
      <c r="AG102" s="90"/>
      <c r="AH102" s="93"/>
      <c r="AI102" s="90"/>
      <c r="AJ102" s="93"/>
      <c r="AK102" s="661"/>
      <c r="AL102" s="101">
        <f t="shared" si="52"/>
        <v>0</v>
      </c>
      <c r="AM102" s="34"/>
      <c r="AN102" s="585">
        <f t="shared" si="54"/>
        <v>28000000</v>
      </c>
      <c r="AO102" s="40"/>
      <c r="AP102" s="71"/>
      <c r="AQ102" s="28"/>
      <c r="AR102" s="28"/>
      <c r="AS102" s="28"/>
      <c r="AT102" s="28"/>
    </row>
    <row r="103" spans="1:46" s="10" customFormat="1" ht="18" customHeight="1">
      <c r="A103" s="5"/>
      <c r="B103" s="86"/>
      <c r="C103" s="98" t="s">
        <v>249</v>
      </c>
      <c r="D103" s="1038" t="s">
        <v>649</v>
      </c>
      <c r="E103" s="1039"/>
      <c r="F103" s="1039"/>
      <c r="G103" s="1040"/>
      <c r="H103" s="611">
        <f>SUM(H100:H102)</f>
        <v>8950000</v>
      </c>
      <c r="I103" s="612"/>
      <c r="J103" s="611">
        <f>SUM(J100:J102)</f>
        <v>8700000</v>
      </c>
      <c r="K103" s="612"/>
      <c r="L103" s="611">
        <f>SUM(L100:L102)</f>
        <v>10020000</v>
      </c>
      <c r="M103" s="680"/>
      <c r="N103" s="613">
        <f>SUM(H103,J103,L103)</f>
        <v>27670000</v>
      </c>
      <c r="O103" s="614"/>
      <c r="P103" s="611">
        <f>SUM(P100:P102)</f>
        <v>9400000</v>
      </c>
      <c r="Q103" s="612"/>
      <c r="R103" s="611">
        <f>SUM(R100:R102)</f>
        <v>9400000</v>
      </c>
      <c r="S103" s="612"/>
      <c r="T103" s="611">
        <f>SUM(T100:T102)</f>
        <v>0</v>
      </c>
      <c r="U103" s="680"/>
      <c r="V103" s="615">
        <f t="shared" si="50"/>
        <v>18800000</v>
      </c>
      <c r="W103" s="614"/>
      <c r="X103" s="611">
        <f>SUM(X100:X102)</f>
        <v>0</v>
      </c>
      <c r="Y103" s="612"/>
      <c r="Z103" s="611">
        <f>SUM(Z100:Z102)</f>
        <v>0</v>
      </c>
      <c r="AA103" s="612"/>
      <c r="AB103" s="611">
        <f>SUM(AB100:AB102)</f>
        <v>0</v>
      </c>
      <c r="AC103" s="680"/>
      <c r="AD103" s="613">
        <f t="shared" si="51"/>
        <v>0</v>
      </c>
      <c r="AE103" s="614"/>
      <c r="AF103" s="611">
        <f>SUM(AF100:AF102)</f>
        <v>0</v>
      </c>
      <c r="AG103" s="612"/>
      <c r="AH103" s="611">
        <f>SUM(AH100:AH102)</f>
        <v>0</v>
      </c>
      <c r="AI103" s="612"/>
      <c r="AJ103" s="611">
        <f>SUM(AJ100:AJ102)</f>
        <v>0</v>
      </c>
      <c r="AK103" s="680"/>
      <c r="AL103" s="615">
        <f t="shared" si="52"/>
        <v>0</v>
      </c>
      <c r="AM103" s="614"/>
      <c r="AN103" s="615">
        <f t="shared" si="54"/>
        <v>46470000</v>
      </c>
      <c r="AO103" s="616"/>
      <c r="AP103" s="28"/>
      <c r="AQ103" s="28"/>
      <c r="AR103" s="28"/>
      <c r="AS103" s="28"/>
      <c r="AT103" s="28"/>
    </row>
    <row r="104" spans="1:46" s="10" customFormat="1" ht="18" customHeight="1">
      <c r="A104" s="5"/>
      <c r="B104" s="86"/>
      <c r="C104" s="98" t="s">
        <v>249</v>
      </c>
      <c r="D104" s="1359" t="s">
        <v>139</v>
      </c>
      <c r="E104" s="1359" t="s">
        <v>651</v>
      </c>
      <c r="F104" s="537" t="s">
        <v>140</v>
      </c>
      <c r="G104" s="133" t="s">
        <v>141</v>
      </c>
      <c r="H104" s="31">
        <v>4500000</v>
      </c>
      <c r="I104" s="90"/>
      <c r="J104" s="31">
        <v>4500000</v>
      </c>
      <c r="K104" s="90"/>
      <c r="L104" s="31">
        <v>4500000</v>
      </c>
      <c r="M104" s="661"/>
      <c r="N104" s="89">
        <f>SUM(H104,J104,L104)</f>
        <v>13500000</v>
      </c>
      <c r="O104" s="34"/>
      <c r="P104" s="31">
        <v>4500000</v>
      </c>
      <c r="Q104" s="90"/>
      <c r="R104" s="31">
        <v>4500000</v>
      </c>
      <c r="S104" s="90"/>
      <c r="T104" s="31"/>
      <c r="U104" s="661"/>
      <c r="V104" s="101">
        <f>SUM(P104,R104,T104)</f>
        <v>9000000</v>
      </c>
      <c r="W104" s="34"/>
      <c r="X104" s="31"/>
      <c r="Y104" s="90"/>
      <c r="Z104" s="31"/>
      <c r="AA104" s="90"/>
      <c r="AB104" s="31"/>
      <c r="AC104" s="661"/>
      <c r="AD104" s="89">
        <f>SUM(X104,Z104,AB104)</f>
        <v>0</v>
      </c>
      <c r="AE104" s="34"/>
      <c r="AF104" s="31"/>
      <c r="AG104" s="90"/>
      <c r="AH104" s="31"/>
      <c r="AI104" s="90"/>
      <c r="AJ104" s="31"/>
      <c r="AK104" s="661"/>
      <c r="AL104" s="101">
        <f>SUM(AF104,AH104,AJ104)</f>
        <v>0</v>
      </c>
      <c r="AM104" s="34"/>
      <c r="AN104" s="585">
        <f>SUM(N104+V104+AD104+AL104)</f>
        <v>22500000</v>
      </c>
      <c r="AO104" s="40"/>
      <c r="AP104" s="28"/>
      <c r="AQ104" s="28"/>
      <c r="AR104" s="28"/>
      <c r="AS104" s="28"/>
      <c r="AT104" s="28"/>
    </row>
    <row r="105" spans="1:46" s="10" customFormat="1" ht="18" customHeight="1">
      <c r="A105" s="5"/>
      <c r="B105" s="86"/>
      <c r="C105" s="98" t="s">
        <v>249</v>
      </c>
      <c r="D105" s="1359" t="s">
        <v>139</v>
      </c>
      <c r="E105" s="1359" t="s">
        <v>651</v>
      </c>
      <c r="F105" s="537" t="s">
        <v>142</v>
      </c>
      <c r="G105" s="88" t="s">
        <v>143</v>
      </c>
      <c r="H105" s="31">
        <v>26273</v>
      </c>
      <c r="I105" s="90"/>
      <c r="J105" s="31">
        <v>52546</v>
      </c>
      <c r="K105" s="90"/>
      <c r="L105" s="31">
        <v>52546</v>
      </c>
      <c r="M105" s="661"/>
      <c r="N105" s="89">
        <f>SUM(H105,J105,L105)</f>
        <v>131365</v>
      </c>
      <c r="O105" s="34"/>
      <c r="P105" s="31">
        <v>26273</v>
      </c>
      <c r="Q105" s="90"/>
      <c r="R105" s="31">
        <v>26273</v>
      </c>
      <c r="S105" s="90"/>
      <c r="T105" s="31"/>
      <c r="U105" s="661"/>
      <c r="V105" s="101">
        <f>SUM(P105,R105,T105)</f>
        <v>52546</v>
      </c>
      <c r="W105" s="34"/>
      <c r="X105" s="31"/>
      <c r="Y105" s="90"/>
      <c r="Z105" s="31"/>
      <c r="AA105" s="90"/>
      <c r="AB105" s="31"/>
      <c r="AC105" s="661"/>
      <c r="AD105" s="89">
        <f>SUM(X105,Z105,AB105)</f>
        <v>0</v>
      </c>
      <c r="AE105" s="34"/>
      <c r="AF105" s="31"/>
      <c r="AG105" s="90"/>
      <c r="AH105" s="31"/>
      <c r="AI105" s="90"/>
      <c r="AJ105" s="31"/>
      <c r="AK105" s="661"/>
      <c r="AL105" s="101">
        <f>SUM(AF105,AH105,AJ105)</f>
        <v>0</v>
      </c>
      <c r="AM105" s="34"/>
      <c r="AN105" s="585">
        <f>SUM(N105+V105+AD105+AL105)</f>
        <v>183911</v>
      </c>
      <c r="AO105" s="40"/>
      <c r="AP105" s="71"/>
      <c r="AQ105" s="28"/>
      <c r="AR105" s="28"/>
      <c r="AS105" s="28"/>
      <c r="AT105" s="28"/>
    </row>
    <row r="106" spans="1:46" s="10" customFormat="1" ht="18" customHeight="1">
      <c r="A106" s="5"/>
      <c r="B106" s="86"/>
      <c r="C106" s="98" t="s">
        <v>249</v>
      </c>
      <c r="D106" s="1359" t="s">
        <v>139</v>
      </c>
      <c r="E106" s="1359" t="s">
        <v>651</v>
      </c>
      <c r="F106" s="537" t="s">
        <v>148</v>
      </c>
      <c r="G106" s="88" t="s">
        <v>149</v>
      </c>
      <c r="H106" s="30">
        <v>400000</v>
      </c>
      <c r="I106" s="90"/>
      <c r="J106" s="30">
        <v>400000</v>
      </c>
      <c r="K106" s="90"/>
      <c r="L106" s="30">
        <v>400000</v>
      </c>
      <c r="M106" s="661"/>
      <c r="N106" s="89">
        <f>SUM(H106,J106,L106)</f>
        <v>1200000</v>
      </c>
      <c r="O106" s="34"/>
      <c r="P106" s="30">
        <v>400000</v>
      </c>
      <c r="Q106" s="90"/>
      <c r="R106" s="30">
        <v>400000</v>
      </c>
      <c r="S106" s="90"/>
      <c r="T106" s="30"/>
      <c r="U106" s="661"/>
      <c r="V106" s="101">
        <f>SUM(P106,R106,T106)</f>
        <v>800000</v>
      </c>
      <c r="W106" s="34"/>
      <c r="X106" s="30"/>
      <c r="Y106" s="90"/>
      <c r="Z106" s="30"/>
      <c r="AA106" s="90"/>
      <c r="AB106" s="30"/>
      <c r="AC106" s="661"/>
      <c r="AD106" s="89">
        <f>SUM(X106,Z106,AB106)</f>
        <v>0</v>
      </c>
      <c r="AE106" s="34"/>
      <c r="AF106" s="30"/>
      <c r="AG106" s="90"/>
      <c r="AH106" s="30"/>
      <c r="AI106" s="90"/>
      <c r="AJ106" s="30"/>
      <c r="AK106" s="661"/>
      <c r="AL106" s="101">
        <f>SUM(AF106,AH106,AJ106)</f>
        <v>0</v>
      </c>
      <c r="AM106" s="34"/>
      <c r="AN106" s="585">
        <f>SUM(N106+V106+AD106+AL106)</f>
        <v>2000000</v>
      </c>
      <c r="AO106" s="40"/>
      <c r="AP106" s="28"/>
      <c r="AQ106" s="28"/>
      <c r="AR106" s="28"/>
      <c r="AS106" s="28"/>
      <c r="AT106" s="28"/>
    </row>
    <row r="107" spans="1:46" s="10" customFormat="1" ht="18" hidden="1" customHeight="1">
      <c r="A107" s="5"/>
      <c r="B107" s="86"/>
      <c r="C107" s="98" t="s">
        <v>249</v>
      </c>
      <c r="D107" s="1360"/>
      <c r="E107" s="1360"/>
      <c r="F107" s="537" t="s">
        <v>250</v>
      </c>
      <c r="G107" s="133" t="s">
        <v>251</v>
      </c>
      <c r="H107" s="30">
        <v>0</v>
      </c>
      <c r="I107" s="90"/>
      <c r="J107" s="30">
        <v>0</v>
      </c>
      <c r="K107" s="90"/>
      <c r="L107" s="32">
        <v>0</v>
      </c>
      <c r="M107" s="90"/>
      <c r="N107" s="89">
        <f>SUM(H107,J107,L107)</f>
        <v>0</v>
      </c>
      <c r="O107" s="34"/>
      <c r="P107" s="32">
        <v>0</v>
      </c>
      <c r="Q107" s="90"/>
      <c r="R107" s="32"/>
      <c r="S107" s="90"/>
      <c r="T107" s="32"/>
      <c r="U107" s="90"/>
      <c r="V107" s="89">
        <f>SUM(P107,R107,T107)</f>
        <v>0</v>
      </c>
      <c r="W107" s="36"/>
      <c r="X107" s="32"/>
      <c r="Y107" s="90"/>
      <c r="Z107" s="32"/>
      <c r="AA107" s="90"/>
      <c r="AB107" s="32"/>
      <c r="AC107" s="90"/>
      <c r="AD107" s="91">
        <f>SUM(X107,Z107,AB107)</f>
        <v>0</v>
      </c>
      <c r="AE107" s="36"/>
      <c r="AF107" s="32"/>
      <c r="AG107" s="90"/>
      <c r="AH107" s="32"/>
      <c r="AI107" s="90"/>
      <c r="AJ107" s="32"/>
      <c r="AK107" s="90"/>
      <c r="AL107" s="92">
        <f>SUM(AF107,AH107,AJ107)</f>
        <v>0</v>
      </c>
      <c r="AM107" s="36"/>
      <c r="AN107" s="585">
        <f>SUM(N107+V107+AD107+AL107)</f>
        <v>0</v>
      </c>
      <c r="AO107" s="40"/>
      <c r="AP107" s="28"/>
      <c r="AQ107" s="28"/>
      <c r="AR107" s="28"/>
      <c r="AS107" s="28"/>
      <c r="AT107" s="28"/>
    </row>
    <row r="108" spans="1:46" s="10" customFormat="1" ht="18" customHeight="1">
      <c r="A108" s="5"/>
      <c r="B108" s="86"/>
      <c r="C108" s="98" t="s">
        <v>249</v>
      </c>
      <c r="D108" s="1038" t="s">
        <v>650</v>
      </c>
      <c r="E108" s="1039"/>
      <c r="F108" s="1039"/>
      <c r="G108" s="1040"/>
      <c r="H108" s="611">
        <f>SUM(H104:H107)</f>
        <v>4926273</v>
      </c>
      <c r="I108" s="612"/>
      <c r="J108" s="611">
        <f>SUM(J104:J107)</f>
        <v>4952546</v>
      </c>
      <c r="K108" s="612"/>
      <c r="L108" s="611">
        <f>SUM(L104:L107)</f>
        <v>4952546</v>
      </c>
      <c r="M108" s="680"/>
      <c r="N108" s="613">
        <f t="shared" ref="N108" si="55">SUM(H108,J108,L108)</f>
        <v>14831365</v>
      </c>
      <c r="O108" s="614"/>
      <c r="P108" s="611">
        <f>SUM(P104:P107)</f>
        <v>4926273</v>
      </c>
      <c r="Q108" s="612"/>
      <c r="R108" s="611">
        <f>SUM(R104:R107)</f>
        <v>4926273</v>
      </c>
      <c r="S108" s="612"/>
      <c r="T108" s="611">
        <f>SUM(T104:T107)</f>
        <v>0</v>
      </c>
      <c r="U108" s="680"/>
      <c r="V108" s="615">
        <f t="shared" ref="V108" si="56">SUM(P108,R108,T108)</f>
        <v>9852546</v>
      </c>
      <c r="W108" s="614"/>
      <c r="X108" s="611">
        <f>SUM(X104:X107)</f>
        <v>0</v>
      </c>
      <c r="Y108" s="612"/>
      <c r="Z108" s="611">
        <f>SUM(Z104:Z107)</f>
        <v>0</v>
      </c>
      <c r="AA108" s="612"/>
      <c r="AB108" s="611">
        <f>SUM(AB104:AB107)</f>
        <v>0</v>
      </c>
      <c r="AC108" s="680"/>
      <c r="AD108" s="613">
        <f t="shared" ref="AD108" si="57">SUM(X108,Z108,AB108)</f>
        <v>0</v>
      </c>
      <c r="AE108" s="614"/>
      <c r="AF108" s="611">
        <f>SUM(AF104:AF107)</f>
        <v>0</v>
      </c>
      <c r="AG108" s="612"/>
      <c r="AH108" s="611">
        <f>SUM(AH104:AH107)</f>
        <v>0</v>
      </c>
      <c r="AI108" s="612"/>
      <c r="AJ108" s="611">
        <f>SUM(AJ104:AJ107)</f>
        <v>0</v>
      </c>
      <c r="AK108" s="680"/>
      <c r="AL108" s="615">
        <f t="shared" ref="AL108" si="58">SUM(AF108,AH108,AJ108)</f>
        <v>0</v>
      </c>
      <c r="AM108" s="614"/>
      <c r="AN108" s="615">
        <f t="shared" ref="AN108" si="59">SUM(N108+V108+AD108+AL108)</f>
        <v>24683911</v>
      </c>
      <c r="AO108" s="616"/>
      <c r="AP108" s="28"/>
      <c r="AQ108" s="28"/>
      <c r="AR108" s="28"/>
      <c r="AS108" s="28"/>
      <c r="AT108" s="28"/>
    </row>
    <row r="109" spans="1:46" s="10" customFormat="1" ht="18" customHeight="1">
      <c r="A109" s="5"/>
      <c r="B109" s="86"/>
      <c r="C109" s="98" t="s">
        <v>249</v>
      </c>
      <c r="D109" s="1361" t="s">
        <v>170</v>
      </c>
      <c r="E109" s="1361" t="s">
        <v>170</v>
      </c>
      <c r="F109" s="1371" t="s">
        <v>171</v>
      </c>
      <c r="G109" s="133" t="s">
        <v>172</v>
      </c>
      <c r="H109" s="31">
        <v>0</v>
      </c>
      <c r="I109" s="90"/>
      <c r="J109" s="31">
        <v>0</v>
      </c>
      <c r="K109" s="90"/>
      <c r="L109" s="31">
        <v>0</v>
      </c>
      <c r="M109" s="661"/>
      <c r="N109" s="89">
        <f>SUM(H109,J109,L109)</f>
        <v>0</v>
      </c>
      <c r="O109" s="34"/>
      <c r="P109" s="31">
        <v>1280000</v>
      </c>
      <c r="Q109" s="90"/>
      <c r="R109" s="31">
        <v>550000</v>
      </c>
      <c r="S109" s="90"/>
      <c r="T109" s="31"/>
      <c r="U109" s="661"/>
      <c r="V109" s="101">
        <f>SUM(P109,R109,T109)</f>
        <v>1830000</v>
      </c>
      <c r="W109" s="34"/>
      <c r="X109" s="31"/>
      <c r="Y109" s="90"/>
      <c r="Z109" s="31"/>
      <c r="AA109" s="90"/>
      <c r="AB109" s="31"/>
      <c r="AC109" s="661"/>
      <c r="AD109" s="89">
        <f>SUM(X109,Z109,AB109)</f>
        <v>0</v>
      </c>
      <c r="AE109" s="34"/>
      <c r="AF109" s="31"/>
      <c r="AG109" s="90"/>
      <c r="AH109" s="31"/>
      <c r="AI109" s="90"/>
      <c r="AJ109" s="31"/>
      <c r="AK109" s="661"/>
      <c r="AL109" s="101">
        <f>SUM(AF109,AH109,AJ109)</f>
        <v>0</v>
      </c>
      <c r="AM109" s="34"/>
      <c r="AN109" s="585">
        <f>SUM(N109+V109+AD109+AL109)</f>
        <v>1830000</v>
      </c>
      <c r="AO109" s="40"/>
      <c r="AP109" s="28"/>
      <c r="AQ109" s="28"/>
      <c r="AR109" s="28"/>
      <c r="AS109" s="28"/>
      <c r="AT109" s="28"/>
    </row>
    <row r="110" spans="1:46" s="10" customFormat="1" ht="18" customHeight="1">
      <c r="A110" s="5"/>
      <c r="B110" s="86"/>
      <c r="C110" s="98" t="s">
        <v>249</v>
      </c>
      <c r="D110" s="1361" t="s">
        <v>170</v>
      </c>
      <c r="E110" s="1361" t="s">
        <v>170</v>
      </c>
      <c r="F110" s="840" t="s">
        <v>177</v>
      </c>
      <c r="G110" s="133" t="s">
        <v>178</v>
      </c>
      <c r="H110" s="31">
        <v>0</v>
      </c>
      <c r="I110" s="90"/>
      <c r="J110" s="31">
        <v>250000</v>
      </c>
      <c r="K110" s="90"/>
      <c r="L110" s="31">
        <v>0</v>
      </c>
      <c r="M110" s="661"/>
      <c r="N110" s="89">
        <f t="shared" si="49"/>
        <v>250000</v>
      </c>
      <c r="O110" s="34"/>
      <c r="P110" s="31">
        <v>0</v>
      </c>
      <c r="Q110" s="90"/>
      <c r="R110" s="31">
        <v>0</v>
      </c>
      <c r="S110" s="90"/>
      <c r="T110" s="31"/>
      <c r="U110" s="661"/>
      <c r="V110" s="101">
        <f t="shared" si="50"/>
        <v>0</v>
      </c>
      <c r="W110" s="34"/>
      <c r="X110" s="31"/>
      <c r="Y110" s="90"/>
      <c r="Z110" s="31"/>
      <c r="AA110" s="90"/>
      <c r="AB110" s="31"/>
      <c r="AC110" s="661"/>
      <c r="AD110" s="89">
        <f t="shared" si="51"/>
        <v>0</v>
      </c>
      <c r="AE110" s="34"/>
      <c r="AF110" s="31"/>
      <c r="AG110" s="90"/>
      <c r="AH110" s="31"/>
      <c r="AI110" s="90"/>
      <c r="AJ110" s="31"/>
      <c r="AK110" s="661"/>
      <c r="AL110" s="101">
        <f t="shared" si="52"/>
        <v>0</v>
      </c>
      <c r="AM110" s="34"/>
      <c r="AN110" s="585">
        <f t="shared" si="54"/>
        <v>250000</v>
      </c>
      <c r="AO110" s="40"/>
      <c r="AP110" s="28"/>
      <c r="AQ110" s="28"/>
      <c r="AR110" s="28"/>
      <c r="AS110" s="28"/>
      <c r="AT110" s="28"/>
    </row>
    <row r="111" spans="1:46" s="10" customFormat="1" ht="15">
      <c r="A111" s="5"/>
      <c r="B111" s="86"/>
      <c r="C111" s="98" t="s">
        <v>249</v>
      </c>
      <c r="D111" s="1361" t="s">
        <v>170</v>
      </c>
      <c r="E111" s="1361" t="s">
        <v>170</v>
      </c>
      <c r="F111" s="840" t="s">
        <v>179</v>
      </c>
      <c r="G111" s="133" t="s">
        <v>180</v>
      </c>
      <c r="H111" s="31">
        <v>0</v>
      </c>
      <c r="I111" s="90"/>
      <c r="J111" s="31">
        <v>0</v>
      </c>
      <c r="K111" s="90"/>
      <c r="L111" s="31">
        <v>0</v>
      </c>
      <c r="M111" s="661"/>
      <c r="N111" s="89">
        <f t="shared" si="49"/>
        <v>0</v>
      </c>
      <c r="O111" s="34"/>
      <c r="P111" s="31">
        <v>0</v>
      </c>
      <c r="Q111" s="90"/>
      <c r="R111" s="31"/>
      <c r="S111" s="90"/>
      <c r="T111" s="31"/>
      <c r="U111" s="661"/>
      <c r="V111" s="101">
        <f t="shared" si="50"/>
        <v>0</v>
      </c>
      <c r="W111" s="34"/>
      <c r="X111" s="31"/>
      <c r="Y111" s="90"/>
      <c r="Z111" s="31"/>
      <c r="AA111" s="90"/>
      <c r="AB111" s="31"/>
      <c r="AC111" s="661"/>
      <c r="AD111" s="89">
        <f t="shared" si="51"/>
        <v>0</v>
      </c>
      <c r="AE111" s="34"/>
      <c r="AF111" s="31"/>
      <c r="AG111" s="90"/>
      <c r="AH111" s="31"/>
      <c r="AI111" s="90"/>
      <c r="AJ111" s="31"/>
      <c r="AK111" s="661"/>
      <c r="AL111" s="101">
        <f t="shared" si="52"/>
        <v>0</v>
      </c>
      <c r="AM111" s="34"/>
      <c r="AN111" s="585">
        <f t="shared" si="54"/>
        <v>0</v>
      </c>
      <c r="AO111" s="40"/>
      <c r="AP111" s="28"/>
      <c r="AQ111" s="28"/>
      <c r="AR111" s="28"/>
      <c r="AS111" s="28"/>
      <c r="AT111" s="28"/>
    </row>
    <row r="112" spans="1:46" s="10" customFormat="1" ht="18" customHeight="1">
      <c r="A112" s="5"/>
      <c r="B112" s="86"/>
      <c r="C112" s="98" t="s">
        <v>249</v>
      </c>
      <c r="D112" s="1361" t="s">
        <v>170</v>
      </c>
      <c r="E112" s="1361" t="s">
        <v>170</v>
      </c>
      <c r="F112" s="840" t="s">
        <v>295</v>
      </c>
      <c r="G112" s="133" t="s">
        <v>588</v>
      </c>
      <c r="H112" s="31">
        <v>0</v>
      </c>
      <c r="I112" s="90"/>
      <c r="J112" s="31">
        <v>510000</v>
      </c>
      <c r="K112" s="90"/>
      <c r="L112" s="31">
        <v>0</v>
      </c>
      <c r="M112" s="661"/>
      <c r="N112" s="89">
        <f t="shared" si="49"/>
        <v>510000</v>
      </c>
      <c r="O112" s="34"/>
      <c r="P112" s="31">
        <v>0</v>
      </c>
      <c r="Q112" s="90"/>
      <c r="R112" s="31">
        <v>0</v>
      </c>
      <c r="S112" s="90"/>
      <c r="T112" s="31"/>
      <c r="U112" s="661"/>
      <c r="V112" s="101">
        <f t="shared" si="50"/>
        <v>0</v>
      </c>
      <c r="W112" s="34"/>
      <c r="X112" s="31"/>
      <c r="Y112" s="90"/>
      <c r="Z112" s="31"/>
      <c r="AA112" s="90"/>
      <c r="AB112" s="31"/>
      <c r="AC112" s="661"/>
      <c r="AD112" s="89">
        <f t="shared" si="51"/>
        <v>0</v>
      </c>
      <c r="AE112" s="34"/>
      <c r="AF112" s="31"/>
      <c r="AG112" s="90"/>
      <c r="AH112" s="31"/>
      <c r="AI112" s="90"/>
      <c r="AJ112" s="31"/>
      <c r="AK112" s="661"/>
      <c r="AL112" s="101">
        <f t="shared" si="52"/>
        <v>0</v>
      </c>
      <c r="AM112" s="34"/>
      <c r="AN112" s="585">
        <f t="shared" si="54"/>
        <v>510000</v>
      </c>
      <c r="AO112" s="40"/>
      <c r="AP112" s="28"/>
      <c r="AQ112" s="28"/>
      <c r="AR112" s="28"/>
      <c r="AS112" s="28"/>
      <c r="AT112" s="28"/>
    </row>
    <row r="113" spans="1:46" s="10" customFormat="1" ht="18" customHeight="1">
      <c r="A113" s="5"/>
      <c r="B113" s="86"/>
      <c r="C113" s="98" t="s">
        <v>249</v>
      </c>
      <c r="D113" s="1361" t="s">
        <v>170</v>
      </c>
      <c r="E113" s="1361" t="s">
        <v>170</v>
      </c>
      <c r="F113" s="840" t="s">
        <v>586</v>
      </c>
      <c r="G113" s="133" t="s">
        <v>587</v>
      </c>
      <c r="H113" s="31">
        <v>1000000</v>
      </c>
      <c r="I113" s="90"/>
      <c r="J113" s="31">
        <v>0</v>
      </c>
      <c r="K113" s="90"/>
      <c r="L113" s="31">
        <v>0</v>
      </c>
      <c r="M113" s="661"/>
      <c r="N113" s="89">
        <f t="shared" si="49"/>
        <v>1000000</v>
      </c>
      <c r="O113" s="34"/>
      <c r="P113" s="31">
        <v>0</v>
      </c>
      <c r="Q113" s="90"/>
      <c r="R113" s="31">
        <v>0</v>
      </c>
      <c r="S113" s="90"/>
      <c r="T113" s="31"/>
      <c r="U113" s="661"/>
      <c r="V113" s="101">
        <f t="shared" si="50"/>
        <v>0</v>
      </c>
      <c r="W113" s="34"/>
      <c r="X113" s="31"/>
      <c r="Y113" s="90"/>
      <c r="Z113" s="31"/>
      <c r="AA113" s="90"/>
      <c r="AB113" s="31"/>
      <c r="AC113" s="661"/>
      <c r="AD113" s="89">
        <f t="shared" si="51"/>
        <v>0</v>
      </c>
      <c r="AE113" s="34"/>
      <c r="AF113" s="31"/>
      <c r="AG113" s="90"/>
      <c r="AH113" s="31"/>
      <c r="AI113" s="90"/>
      <c r="AJ113" s="31"/>
      <c r="AK113" s="661"/>
      <c r="AL113" s="101">
        <f t="shared" si="52"/>
        <v>0</v>
      </c>
      <c r="AM113" s="34"/>
      <c r="AN113" s="585">
        <f t="shared" si="54"/>
        <v>1000000</v>
      </c>
      <c r="AO113" s="40"/>
      <c r="AP113" s="28"/>
      <c r="AQ113" s="28"/>
      <c r="AR113" s="28"/>
      <c r="AS113" s="28"/>
      <c r="AT113" s="28"/>
    </row>
    <row r="114" spans="1:46" s="10" customFormat="1" ht="18" customHeight="1">
      <c r="A114" s="5"/>
      <c r="B114" s="86"/>
      <c r="C114" s="98" t="s">
        <v>249</v>
      </c>
      <c r="D114" s="1361" t="s">
        <v>170</v>
      </c>
      <c r="E114" s="1361" t="s">
        <v>170</v>
      </c>
      <c r="F114" s="840" t="s">
        <v>171</v>
      </c>
      <c r="G114" s="133" t="s">
        <v>636</v>
      </c>
      <c r="H114" s="31">
        <v>0</v>
      </c>
      <c r="I114" s="90"/>
      <c r="J114" s="31">
        <v>0</v>
      </c>
      <c r="K114" s="90"/>
      <c r="L114" s="31">
        <v>2100000</v>
      </c>
      <c r="M114" s="661"/>
      <c r="N114" s="89">
        <f t="shared" si="49"/>
        <v>2100000</v>
      </c>
      <c r="O114" s="34"/>
      <c r="P114" s="31">
        <v>0</v>
      </c>
      <c r="Q114" s="90"/>
      <c r="R114" s="31">
        <v>0</v>
      </c>
      <c r="S114" s="90"/>
      <c r="T114" s="31"/>
      <c r="U114" s="661"/>
      <c r="V114" s="101">
        <f t="shared" si="50"/>
        <v>0</v>
      </c>
      <c r="W114" s="34"/>
      <c r="X114" s="31"/>
      <c r="Y114" s="90"/>
      <c r="Z114" s="31"/>
      <c r="AA114" s="90"/>
      <c r="AB114" s="31"/>
      <c r="AC114" s="661"/>
      <c r="AD114" s="89">
        <f t="shared" si="51"/>
        <v>0</v>
      </c>
      <c r="AE114" s="34"/>
      <c r="AF114" s="31"/>
      <c r="AG114" s="90"/>
      <c r="AH114" s="31"/>
      <c r="AI114" s="90"/>
      <c r="AJ114" s="31"/>
      <c r="AK114" s="661"/>
      <c r="AL114" s="101">
        <f t="shared" si="52"/>
        <v>0</v>
      </c>
      <c r="AM114" s="34"/>
      <c r="AN114" s="585">
        <f t="shared" si="54"/>
        <v>2100000</v>
      </c>
      <c r="AO114" s="40"/>
      <c r="AP114" s="28"/>
      <c r="AQ114" s="28"/>
      <c r="AR114" s="28"/>
      <c r="AS114" s="28"/>
      <c r="AT114" s="28"/>
    </row>
    <row r="115" spans="1:46" s="10" customFormat="1" ht="18" customHeight="1">
      <c r="A115" s="5"/>
      <c r="B115" s="86"/>
      <c r="C115" s="98" t="s">
        <v>249</v>
      </c>
      <c r="D115" s="1361" t="s">
        <v>170</v>
      </c>
      <c r="E115" s="1361" t="s">
        <v>170</v>
      </c>
      <c r="F115" s="840" t="s">
        <v>175</v>
      </c>
      <c r="G115" s="133" t="s">
        <v>637</v>
      </c>
      <c r="H115" s="31">
        <v>0</v>
      </c>
      <c r="I115" s="90"/>
      <c r="J115" s="31">
        <v>0</v>
      </c>
      <c r="K115" s="90"/>
      <c r="L115" s="31">
        <v>265000</v>
      </c>
      <c r="M115" s="661"/>
      <c r="N115" s="89">
        <f t="shared" si="49"/>
        <v>265000</v>
      </c>
      <c r="O115" s="34"/>
      <c r="P115" s="31">
        <v>0</v>
      </c>
      <c r="Q115" s="90"/>
      <c r="R115" s="31">
        <v>175000</v>
      </c>
      <c r="S115" s="90"/>
      <c r="T115" s="31"/>
      <c r="U115" s="661"/>
      <c r="V115" s="101">
        <f t="shared" si="50"/>
        <v>175000</v>
      </c>
      <c r="W115" s="34"/>
      <c r="X115" s="31"/>
      <c r="Y115" s="90"/>
      <c r="Z115" s="31"/>
      <c r="AA115" s="90"/>
      <c r="AB115" s="31"/>
      <c r="AC115" s="661"/>
      <c r="AD115" s="89">
        <f t="shared" si="51"/>
        <v>0</v>
      </c>
      <c r="AE115" s="34"/>
      <c r="AF115" s="31"/>
      <c r="AG115" s="90"/>
      <c r="AH115" s="31"/>
      <c r="AI115" s="90"/>
      <c r="AJ115" s="31"/>
      <c r="AK115" s="661"/>
      <c r="AL115" s="101">
        <f t="shared" si="52"/>
        <v>0</v>
      </c>
      <c r="AM115" s="34"/>
      <c r="AN115" s="585">
        <f t="shared" si="54"/>
        <v>440000</v>
      </c>
      <c r="AO115" s="40"/>
      <c r="AP115" s="28"/>
      <c r="AQ115" s="28"/>
      <c r="AR115" s="28"/>
      <c r="AS115" s="28"/>
      <c r="AT115" s="28"/>
    </row>
    <row r="116" spans="1:46" s="10" customFormat="1" ht="18" customHeight="1">
      <c r="A116" s="5"/>
      <c r="B116" s="86"/>
      <c r="C116" s="98" t="s">
        <v>249</v>
      </c>
      <c r="D116" s="1361" t="s">
        <v>170</v>
      </c>
      <c r="E116" s="1361" t="s">
        <v>170</v>
      </c>
      <c r="F116" s="840" t="s">
        <v>181</v>
      </c>
      <c r="G116" s="133" t="s">
        <v>182</v>
      </c>
      <c r="H116" s="31">
        <v>100000</v>
      </c>
      <c r="I116" s="90"/>
      <c r="J116" s="31">
        <v>0</v>
      </c>
      <c r="K116" s="90"/>
      <c r="L116" s="31">
        <v>0</v>
      </c>
      <c r="M116" s="661"/>
      <c r="N116" s="89">
        <f t="shared" si="49"/>
        <v>100000</v>
      </c>
      <c r="O116" s="34"/>
      <c r="P116" s="31">
        <v>0</v>
      </c>
      <c r="Q116" s="90"/>
      <c r="R116" s="31">
        <v>0</v>
      </c>
      <c r="S116" s="90"/>
      <c r="T116" s="31"/>
      <c r="U116" s="661"/>
      <c r="V116" s="101">
        <f t="shared" si="50"/>
        <v>0</v>
      </c>
      <c r="W116" s="34"/>
      <c r="X116" s="31"/>
      <c r="Y116" s="90"/>
      <c r="Z116" s="31"/>
      <c r="AA116" s="90"/>
      <c r="AB116" s="31"/>
      <c r="AC116" s="661"/>
      <c r="AD116" s="89">
        <f t="shared" si="51"/>
        <v>0</v>
      </c>
      <c r="AE116" s="34"/>
      <c r="AF116" s="31"/>
      <c r="AG116" s="90"/>
      <c r="AH116" s="31"/>
      <c r="AI116" s="90"/>
      <c r="AJ116" s="31"/>
      <c r="AK116" s="661"/>
      <c r="AL116" s="101">
        <f t="shared" si="52"/>
        <v>0</v>
      </c>
      <c r="AM116" s="34"/>
      <c r="AN116" s="585">
        <f t="shared" si="54"/>
        <v>100000</v>
      </c>
      <c r="AO116" s="40"/>
      <c r="AP116" s="28"/>
      <c r="AQ116" s="28"/>
      <c r="AR116" s="28"/>
      <c r="AS116" s="28"/>
      <c r="AT116" s="28"/>
    </row>
    <row r="117" spans="1:46" s="10" customFormat="1" ht="18" customHeight="1">
      <c r="A117" s="5"/>
      <c r="B117" s="86"/>
      <c r="C117" s="98" t="s">
        <v>249</v>
      </c>
      <c r="D117" s="1361" t="s">
        <v>170</v>
      </c>
      <c r="E117" s="1361" t="s">
        <v>170</v>
      </c>
      <c r="F117" s="536" t="s">
        <v>173</v>
      </c>
      <c r="G117" s="839" t="s">
        <v>1020</v>
      </c>
      <c r="H117" s="31">
        <v>0</v>
      </c>
      <c r="I117" s="90"/>
      <c r="J117" s="31">
        <v>0</v>
      </c>
      <c r="K117" s="90"/>
      <c r="L117" s="31">
        <v>0</v>
      </c>
      <c r="M117" s="661"/>
      <c r="N117" s="89">
        <f t="shared" ref="N117" si="60">SUM(H117,J117,L117)</f>
        <v>0</v>
      </c>
      <c r="O117" s="34"/>
      <c r="P117" s="31">
        <v>250000</v>
      </c>
      <c r="Q117" s="90"/>
      <c r="R117" s="31">
        <v>0</v>
      </c>
      <c r="S117" s="90"/>
      <c r="T117" s="31"/>
      <c r="U117" s="661"/>
      <c r="V117" s="101">
        <f t="shared" ref="V117" si="61">SUM(P117,R117,T117)</f>
        <v>250000</v>
      </c>
      <c r="W117" s="34"/>
      <c r="X117" s="31"/>
      <c r="Y117" s="90"/>
      <c r="Z117" s="31"/>
      <c r="AA117" s="90"/>
      <c r="AB117" s="31"/>
      <c r="AC117" s="661"/>
      <c r="AD117" s="89">
        <f t="shared" ref="AD117" si="62">SUM(X117,Z117,AB117)</f>
        <v>0</v>
      </c>
      <c r="AE117" s="34"/>
      <c r="AF117" s="31"/>
      <c r="AG117" s="90"/>
      <c r="AH117" s="31"/>
      <c r="AI117" s="90"/>
      <c r="AJ117" s="31"/>
      <c r="AK117" s="661"/>
      <c r="AL117" s="101">
        <f t="shared" ref="AL117" si="63">SUM(AF117,AH117,AJ117)</f>
        <v>0</v>
      </c>
      <c r="AM117" s="34"/>
      <c r="AN117" s="585">
        <f t="shared" ref="AN117" si="64">SUM(N117+V117+AD117+AL117)</f>
        <v>250000</v>
      </c>
      <c r="AO117" s="40" t="s">
        <v>265</v>
      </c>
      <c r="AP117" s="28"/>
      <c r="AQ117" s="28"/>
      <c r="AR117" s="28"/>
      <c r="AS117" s="28"/>
      <c r="AT117" s="28"/>
    </row>
    <row r="118" spans="1:46" s="10" customFormat="1" ht="18" customHeight="1">
      <c r="A118" s="5"/>
      <c r="B118" s="86"/>
      <c r="C118" s="98" t="s">
        <v>249</v>
      </c>
      <c r="D118" s="1361" t="s">
        <v>170</v>
      </c>
      <c r="E118" s="1361" t="s">
        <v>170</v>
      </c>
      <c r="F118" s="536" t="s">
        <v>646</v>
      </c>
      <c r="G118" s="839" t="s">
        <v>647</v>
      </c>
      <c r="H118" s="31">
        <v>0</v>
      </c>
      <c r="I118" s="90"/>
      <c r="J118" s="31">
        <v>0</v>
      </c>
      <c r="K118" s="90"/>
      <c r="L118" s="31">
        <v>411000</v>
      </c>
      <c r="M118" s="661"/>
      <c r="N118" s="89">
        <f t="shared" si="49"/>
        <v>411000</v>
      </c>
      <c r="O118" s="34"/>
      <c r="P118" s="31">
        <v>0</v>
      </c>
      <c r="Q118" s="90"/>
      <c r="R118" s="31">
        <v>0</v>
      </c>
      <c r="S118" s="90"/>
      <c r="T118" s="31"/>
      <c r="U118" s="661"/>
      <c r="V118" s="101">
        <f t="shared" si="50"/>
        <v>0</v>
      </c>
      <c r="W118" s="34"/>
      <c r="X118" s="31"/>
      <c r="Y118" s="90"/>
      <c r="Z118" s="31"/>
      <c r="AA118" s="90"/>
      <c r="AB118" s="31"/>
      <c r="AC118" s="661"/>
      <c r="AD118" s="89">
        <f t="shared" si="51"/>
        <v>0</v>
      </c>
      <c r="AE118" s="34"/>
      <c r="AF118" s="31"/>
      <c r="AG118" s="90"/>
      <c r="AH118" s="31"/>
      <c r="AI118" s="90"/>
      <c r="AJ118" s="31"/>
      <c r="AK118" s="661"/>
      <c r="AL118" s="101">
        <f t="shared" si="52"/>
        <v>0</v>
      </c>
      <c r="AM118" s="34"/>
      <c r="AN118" s="585">
        <f t="shared" si="54"/>
        <v>411000</v>
      </c>
      <c r="AO118" s="40" t="s">
        <v>265</v>
      </c>
      <c r="AP118" s="28"/>
      <c r="AQ118" s="28"/>
      <c r="AR118" s="28"/>
      <c r="AS118" s="28"/>
      <c r="AT118" s="28"/>
    </row>
    <row r="119" spans="1:46" s="10" customFormat="1" ht="18" customHeight="1">
      <c r="A119" s="5"/>
      <c r="B119" s="86"/>
      <c r="C119" s="98" t="s">
        <v>249</v>
      </c>
      <c r="D119" s="1096" t="s">
        <v>504</v>
      </c>
      <c r="E119" s="1097"/>
      <c r="F119" s="1097"/>
      <c r="G119" s="1098"/>
      <c r="H119" s="617">
        <f>SUM(H109:H118)</f>
        <v>1100000</v>
      </c>
      <c r="I119" s="618"/>
      <c r="J119" s="617">
        <f>SUM(J109:J118)</f>
        <v>760000</v>
      </c>
      <c r="K119" s="618"/>
      <c r="L119" s="617">
        <f>SUM(L109:L118)</f>
        <v>2776000</v>
      </c>
      <c r="M119" s="681"/>
      <c r="N119" s="619">
        <f>SUM(H119,J119,L119)</f>
        <v>4636000</v>
      </c>
      <c r="O119" s="620"/>
      <c r="P119" s="617">
        <f>SUM(P109:P118)</f>
        <v>1530000</v>
      </c>
      <c r="Q119" s="618"/>
      <c r="R119" s="617">
        <f>SUM(R109:R118)</f>
        <v>725000</v>
      </c>
      <c r="S119" s="618"/>
      <c r="T119" s="617">
        <f>SUM(T109:T118)</f>
        <v>0</v>
      </c>
      <c r="U119" s="681"/>
      <c r="V119" s="621">
        <f t="shared" si="50"/>
        <v>2255000</v>
      </c>
      <c r="W119" s="620"/>
      <c r="X119" s="617">
        <f>SUM(X109:X118)</f>
        <v>0</v>
      </c>
      <c r="Y119" s="618"/>
      <c r="Z119" s="617">
        <f>SUM(Z109:Z118)</f>
        <v>0</v>
      </c>
      <c r="AA119" s="618"/>
      <c r="AB119" s="617">
        <f>SUM(AB109:AB118)</f>
        <v>0</v>
      </c>
      <c r="AC119" s="681"/>
      <c r="AD119" s="619">
        <f t="shared" si="51"/>
        <v>0</v>
      </c>
      <c r="AE119" s="620"/>
      <c r="AF119" s="617">
        <f>SUM(AF109:AF118)</f>
        <v>0</v>
      </c>
      <c r="AG119" s="618"/>
      <c r="AH119" s="617">
        <f>SUM(AH109:AH118)</f>
        <v>0</v>
      </c>
      <c r="AI119" s="618"/>
      <c r="AJ119" s="617">
        <f>SUM(AJ109:AJ118)</f>
        <v>0</v>
      </c>
      <c r="AK119" s="681"/>
      <c r="AL119" s="621">
        <f>SUM(AF119,AH119,AJ119)</f>
        <v>0</v>
      </c>
      <c r="AM119" s="620"/>
      <c r="AN119" s="621">
        <f>SUM(N119+V119+AD119+AL119)</f>
        <v>6891000</v>
      </c>
      <c r="AO119" s="622"/>
      <c r="AP119" s="28"/>
      <c r="AQ119" s="28"/>
      <c r="AR119" s="28"/>
      <c r="AS119" s="28"/>
      <c r="AT119" s="28"/>
    </row>
    <row r="120" spans="1:46" s="10" customFormat="1" ht="18" customHeight="1">
      <c r="A120" s="5"/>
      <c r="B120" s="86"/>
      <c r="C120" s="98" t="s">
        <v>249</v>
      </c>
      <c r="D120" s="1362" t="s">
        <v>107</v>
      </c>
      <c r="E120" s="1362" t="s">
        <v>107</v>
      </c>
      <c r="F120" s="542" t="s">
        <v>183</v>
      </c>
      <c r="G120" s="133" t="s">
        <v>696</v>
      </c>
      <c r="H120" s="31">
        <v>107510</v>
      </c>
      <c r="I120" s="137"/>
      <c r="J120" s="31">
        <v>97106</v>
      </c>
      <c r="K120" s="137"/>
      <c r="L120" s="31">
        <v>107510</v>
      </c>
      <c r="M120" s="676"/>
      <c r="N120" s="89">
        <f t="shared" si="49"/>
        <v>312126</v>
      </c>
      <c r="O120" s="136"/>
      <c r="P120" s="31">
        <v>104042</v>
      </c>
      <c r="Q120" s="137"/>
      <c r="R120" s="31">
        <f>27744+76582</f>
        <v>104326</v>
      </c>
      <c r="S120" s="137"/>
      <c r="T120" s="31"/>
      <c r="U120" s="676"/>
      <c r="V120" s="101">
        <f t="shared" si="50"/>
        <v>208368</v>
      </c>
      <c r="W120" s="136"/>
      <c r="X120" s="31"/>
      <c r="Y120" s="137"/>
      <c r="Z120" s="31"/>
      <c r="AA120" s="137"/>
      <c r="AB120" s="31"/>
      <c r="AC120" s="676"/>
      <c r="AD120" s="89">
        <f t="shared" si="51"/>
        <v>0</v>
      </c>
      <c r="AE120" s="136"/>
      <c r="AF120" s="31"/>
      <c r="AG120" s="137"/>
      <c r="AH120" s="31"/>
      <c r="AI120" s="137"/>
      <c r="AJ120" s="31"/>
      <c r="AK120" s="676"/>
      <c r="AL120" s="101">
        <f t="shared" si="52"/>
        <v>0</v>
      </c>
      <c r="AM120" s="136"/>
      <c r="AN120" s="585">
        <f t="shared" si="54"/>
        <v>520494</v>
      </c>
      <c r="AO120" s="105" t="s">
        <v>115</v>
      </c>
      <c r="AP120" s="28"/>
      <c r="AQ120" s="28"/>
      <c r="AR120" s="28"/>
      <c r="AS120" s="28"/>
      <c r="AT120" s="28"/>
    </row>
    <row r="121" spans="1:46" s="10" customFormat="1" ht="18" customHeight="1">
      <c r="A121" s="5"/>
      <c r="B121" s="86"/>
      <c r="C121" s="98" t="s">
        <v>249</v>
      </c>
      <c r="D121" s="1362" t="s">
        <v>107</v>
      </c>
      <c r="E121" s="1362" t="s">
        <v>107</v>
      </c>
      <c r="F121" s="542" t="s">
        <v>185</v>
      </c>
      <c r="G121" s="133" t="s">
        <v>186</v>
      </c>
      <c r="H121" s="31">
        <v>1150000</v>
      </c>
      <c r="I121" s="137"/>
      <c r="J121" s="31">
        <v>1150000</v>
      </c>
      <c r="K121" s="137"/>
      <c r="L121" s="31">
        <v>1150000</v>
      </c>
      <c r="M121" s="676"/>
      <c r="N121" s="89">
        <f t="shared" si="49"/>
        <v>3450000</v>
      </c>
      <c r="O121" s="136"/>
      <c r="P121" s="31">
        <v>1150000</v>
      </c>
      <c r="Q121" s="137"/>
      <c r="R121" s="31">
        <v>1150000</v>
      </c>
      <c r="S121" s="137"/>
      <c r="T121" s="31"/>
      <c r="U121" s="676"/>
      <c r="V121" s="101">
        <f t="shared" si="50"/>
        <v>2300000</v>
      </c>
      <c r="W121" s="136"/>
      <c r="X121" s="31"/>
      <c r="Y121" s="137"/>
      <c r="Z121" s="31"/>
      <c r="AA121" s="137"/>
      <c r="AB121" s="31"/>
      <c r="AC121" s="676"/>
      <c r="AD121" s="89">
        <f t="shared" si="51"/>
        <v>0</v>
      </c>
      <c r="AE121" s="136"/>
      <c r="AF121" s="31"/>
      <c r="AG121" s="137"/>
      <c r="AH121" s="31"/>
      <c r="AI121" s="137"/>
      <c r="AJ121" s="31"/>
      <c r="AK121" s="676"/>
      <c r="AL121" s="101">
        <f t="shared" si="52"/>
        <v>0</v>
      </c>
      <c r="AM121" s="136"/>
      <c r="AN121" s="585">
        <f t="shared" si="54"/>
        <v>5750000</v>
      </c>
      <c r="AO121" s="105" t="s">
        <v>115</v>
      </c>
      <c r="AP121" s="28"/>
      <c r="AQ121" s="28"/>
      <c r="AR121" s="28"/>
      <c r="AS121" s="28"/>
      <c r="AT121" s="28"/>
    </row>
    <row r="122" spans="1:46" s="10" customFormat="1" ht="18" customHeight="1">
      <c r="A122" s="5"/>
      <c r="B122" s="86"/>
      <c r="C122" s="98" t="s">
        <v>249</v>
      </c>
      <c r="D122" s="1093" t="s">
        <v>503</v>
      </c>
      <c r="E122" s="1094"/>
      <c r="F122" s="1094"/>
      <c r="G122" s="1095"/>
      <c r="H122" s="623">
        <f>SUM(H120:H121)</f>
        <v>1257510</v>
      </c>
      <c r="I122" s="624"/>
      <c r="J122" s="623">
        <f>SUM(J120:J121)</f>
        <v>1247106</v>
      </c>
      <c r="K122" s="624"/>
      <c r="L122" s="625">
        <f>SUM(L120:L121)</f>
        <v>1257510</v>
      </c>
      <c r="M122" s="682"/>
      <c r="N122" s="594">
        <f t="shared" si="49"/>
        <v>3762126</v>
      </c>
      <c r="O122" s="626"/>
      <c r="P122" s="625">
        <f>SUM(P120:P121)</f>
        <v>1254042</v>
      </c>
      <c r="Q122" s="624"/>
      <c r="R122" s="625">
        <f>SUM(R120:R121)</f>
        <v>1254326</v>
      </c>
      <c r="S122" s="624"/>
      <c r="T122" s="625">
        <f>SUM(T120:T121)</f>
        <v>0</v>
      </c>
      <c r="U122" s="682"/>
      <c r="V122" s="562">
        <f t="shared" si="50"/>
        <v>2508368</v>
      </c>
      <c r="W122" s="626"/>
      <c r="X122" s="625">
        <f>SUM(X120:X121)</f>
        <v>0</v>
      </c>
      <c r="Y122" s="624"/>
      <c r="Z122" s="625">
        <f>SUM(Z120:Z121)</f>
        <v>0</v>
      </c>
      <c r="AA122" s="624"/>
      <c r="AB122" s="625">
        <f>SUM(AB120:AB121)</f>
        <v>0</v>
      </c>
      <c r="AC122" s="682"/>
      <c r="AD122" s="594">
        <f t="shared" si="51"/>
        <v>0</v>
      </c>
      <c r="AE122" s="626"/>
      <c r="AF122" s="625">
        <f>SUM(AF120:AF121)</f>
        <v>0</v>
      </c>
      <c r="AG122" s="624"/>
      <c r="AH122" s="625">
        <f>SUM(AH120:AH121)</f>
        <v>0</v>
      </c>
      <c r="AI122" s="624"/>
      <c r="AJ122" s="625">
        <f>SUM(AJ120:AJ121)</f>
        <v>0</v>
      </c>
      <c r="AK122" s="682"/>
      <c r="AL122" s="562">
        <f t="shared" si="52"/>
        <v>0</v>
      </c>
      <c r="AM122" s="626"/>
      <c r="AN122" s="562">
        <f t="shared" ref="AN122:AN160" si="65">SUM(N122+V122+AD122+AL122)</f>
        <v>6270494</v>
      </c>
      <c r="AO122" s="627"/>
      <c r="AP122" s="28"/>
      <c r="AQ122" s="28"/>
      <c r="AR122" s="28"/>
      <c r="AS122" s="28"/>
      <c r="AT122" s="28"/>
    </row>
    <row r="123" spans="1:46" s="10" customFormat="1" ht="18" customHeight="1">
      <c r="A123" s="5"/>
      <c r="B123" s="86"/>
      <c r="C123" s="98" t="s">
        <v>249</v>
      </c>
      <c r="D123" s="541" t="s">
        <v>253</v>
      </c>
      <c r="E123" s="541" t="s">
        <v>253</v>
      </c>
      <c r="F123" s="540" t="s">
        <v>254</v>
      </c>
      <c r="G123" s="475" t="s">
        <v>255</v>
      </c>
      <c r="H123" s="30">
        <v>0</v>
      </c>
      <c r="I123" s="90"/>
      <c r="J123" s="30">
        <v>0</v>
      </c>
      <c r="K123" s="90"/>
      <c r="L123" s="32">
        <v>0</v>
      </c>
      <c r="M123" s="661"/>
      <c r="N123" s="89">
        <f t="shared" si="49"/>
        <v>0</v>
      </c>
      <c r="O123" s="34"/>
      <c r="P123" s="32">
        <v>0</v>
      </c>
      <c r="Q123" s="90"/>
      <c r="R123" s="32">
        <v>659800</v>
      </c>
      <c r="S123" s="90"/>
      <c r="T123" s="32"/>
      <c r="U123" s="661"/>
      <c r="V123" s="89">
        <f t="shared" si="50"/>
        <v>659800</v>
      </c>
      <c r="W123" s="34"/>
      <c r="X123" s="32"/>
      <c r="Y123" s="90"/>
      <c r="Z123" s="32"/>
      <c r="AA123" s="90"/>
      <c r="AB123" s="32"/>
      <c r="AC123" s="661"/>
      <c r="AD123" s="89">
        <f t="shared" si="51"/>
        <v>0</v>
      </c>
      <c r="AE123" s="34"/>
      <c r="AF123" s="32"/>
      <c r="AG123" s="90"/>
      <c r="AH123" s="32"/>
      <c r="AI123" s="90"/>
      <c r="AJ123" s="32"/>
      <c r="AK123" s="661"/>
      <c r="AL123" s="89">
        <f t="shared" si="52"/>
        <v>0</v>
      </c>
      <c r="AM123" s="34"/>
      <c r="AN123" s="585">
        <f t="shared" si="65"/>
        <v>659800</v>
      </c>
      <c r="AO123" s="40"/>
      <c r="AP123" s="28"/>
      <c r="AQ123" s="28"/>
      <c r="AR123" s="28"/>
      <c r="AS123" s="28"/>
      <c r="AT123" s="28"/>
    </row>
    <row r="124" spans="1:46" s="10" customFormat="1" ht="18" customHeight="1">
      <c r="A124" s="5"/>
      <c r="B124" s="86"/>
      <c r="C124" s="98" t="s">
        <v>249</v>
      </c>
      <c r="D124" s="1089" t="s">
        <v>508</v>
      </c>
      <c r="E124" s="1090"/>
      <c r="F124" s="1090"/>
      <c r="G124" s="1091"/>
      <c r="H124" s="628">
        <f>SUM(H123)</f>
        <v>0</v>
      </c>
      <c r="I124" s="629"/>
      <c r="J124" s="628">
        <f>SUM(J123)</f>
        <v>0</v>
      </c>
      <c r="K124" s="629"/>
      <c r="L124" s="630">
        <f>SUM(L123)</f>
        <v>0</v>
      </c>
      <c r="M124" s="683"/>
      <c r="N124" s="631">
        <f t="shared" si="49"/>
        <v>0</v>
      </c>
      <c r="O124" s="632"/>
      <c r="P124" s="630">
        <f>SUM(P123)</f>
        <v>0</v>
      </c>
      <c r="Q124" s="629"/>
      <c r="R124" s="630">
        <f>SUM(R123)</f>
        <v>659800</v>
      </c>
      <c r="S124" s="629"/>
      <c r="T124" s="630">
        <f>SUM(T123)</f>
        <v>0</v>
      </c>
      <c r="U124" s="683"/>
      <c r="V124" s="633">
        <f t="shared" si="50"/>
        <v>659800</v>
      </c>
      <c r="W124" s="632"/>
      <c r="X124" s="630">
        <f>SUM(X123)</f>
        <v>0</v>
      </c>
      <c r="Y124" s="629"/>
      <c r="Z124" s="630">
        <f>SUM(Z123)</f>
        <v>0</v>
      </c>
      <c r="AA124" s="629"/>
      <c r="AB124" s="630">
        <f>SUM(AB123)</f>
        <v>0</v>
      </c>
      <c r="AC124" s="683"/>
      <c r="AD124" s="631">
        <f t="shared" si="51"/>
        <v>0</v>
      </c>
      <c r="AE124" s="632"/>
      <c r="AF124" s="630">
        <f>SUM(AF123)</f>
        <v>0</v>
      </c>
      <c r="AG124" s="629"/>
      <c r="AH124" s="630">
        <f>SUM(AH123)</f>
        <v>0</v>
      </c>
      <c r="AI124" s="629"/>
      <c r="AJ124" s="630">
        <f>SUM(AJ123)</f>
        <v>0</v>
      </c>
      <c r="AK124" s="683"/>
      <c r="AL124" s="633">
        <f t="shared" si="52"/>
        <v>0</v>
      </c>
      <c r="AM124" s="632"/>
      <c r="AN124" s="633">
        <f t="shared" si="65"/>
        <v>659800</v>
      </c>
      <c r="AO124" s="634"/>
      <c r="AP124" s="28"/>
      <c r="AQ124" s="28"/>
      <c r="AR124" s="28"/>
      <c r="AS124" s="28"/>
      <c r="AT124" s="28"/>
    </row>
    <row r="125" spans="1:46" s="10" customFormat="1" ht="18" hidden="1" customHeight="1">
      <c r="A125" s="5"/>
      <c r="B125" s="86"/>
      <c r="C125" s="98" t="s">
        <v>249</v>
      </c>
      <c r="D125" s="1027"/>
      <c r="E125" s="1028"/>
      <c r="F125" s="1029"/>
      <c r="G125" s="133"/>
      <c r="H125" s="31"/>
      <c r="I125" s="137"/>
      <c r="J125" s="31"/>
      <c r="K125" s="137"/>
      <c r="L125" s="31"/>
      <c r="M125" s="676"/>
      <c r="N125" s="89">
        <f t="shared" si="49"/>
        <v>0</v>
      </c>
      <c r="O125" s="136"/>
      <c r="P125" s="31">
        <v>72000</v>
      </c>
      <c r="Q125" s="137"/>
      <c r="R125" s="31"/>
      <c r="S125" s="137"/>
      <c r="T125" s="31"/>
      <c r="U125" s="676"/>
      <c r="V125" s="101"/>
      <c r="W125" s="136"/>
      <c r="X125" s="31"/>
      <c r="Y125" s="137"/>
      <c r="Z125" s="31"/>
      <c r="AA125" s="137"/>
      <c r="AB125" s="31"/>
      <c r="AC125" s="676"/>
      <c r="AD125" s="89"/>
      <c r="AE125" s="136"/>
      <c r="AF125" s="31"/>
      <c r="AG125" s="137"/>
      <c r="AH125" s="31"/>
      <c r="AI125" s="137"/>
      <c r="AJ125" s="31"/>
      <c r="AK125" s="676"/>
      <c r="AL125" s="101"/>
      <c r="AM125" s="136"/>
      <c r="AN125" s="585"/>
      <c r="AO125" s="105"/>
      <c r="AP125" s="28"/>
      <c r="AQ125" s="28"/>
      <c r="AR125" s="28"/>
      <c r="AS125" s="28"/>
      <c r="AT125" s="28"/>
    </row>
    <row r="126" spans="1:46" s="10" customFormat="1" ht="15">
      <c r="A126" s="5"/>
      <c r="B126" s="86"/>
      <c r="C126" s="98" t="s">
        <v>249</v>
      </c>
      <c r="D126" s="1127" t="s">
        <v>1018</v>
      </c>
      <c r="E126" s="1128"/>
      <c r="F126" s="1128"/>
      <c r="G126" s="1129"/>
      <c r="H126" s="1019">
        <f>SUM(H125)</f>
        <v>0</v>
      </c>
      <c r="I126" s="1020"/>
      <c r="J126" s="1019">
        <f>SUM(J125)</f>
        <v>0</v>
      </c>
      <c r="K126" s="1020"/>
      <c r="L126" s="1021">
        <f>SUM(L125)</f>
        <v>0</v>
      </c>
      <c r="M126" s="1022"/>
      <c r="N126" s="1023">
        <f t="shared" si="49"/>
        <v>0</v>
      </c>
      <c r="O126" s="1024"/>
      <c r="P126" s="1021">
        <f>SUM(P125)</f>
        <v>72000</v>
      </c>
      <c r="Q126" s="1020"/>
      <c r="R126" s="1021">
        <f>SUM(R125)</f>
        <v>0</v>
      </c>
      <c r="S126" s="1020"/>
      <c r="T126" s="1021">
        <f>SUM(T125)</f>
        <v>0</v>
      </c>
      <c r="U126" s="1022"/>
      <c r="V126" s="1025"/>
      <c r="W126" s="1024"/>
      <c r="X126" s="1021">
        <f>SUM(X125)</f>
        <v>0</v>
      </c>
      <c r="Y126" s="1020"/>
      <c r="Z126" s="1021">
        <f>SUM(Z125)</f>
        <v>0</v>
      </c>
      <c r="AA126" s="1020"/>
      <c r="AB126" s="1021">
        <f>SUM(AB125)</f>
        <v>0</v>
      </c>
      <c r="AC126" s="1022"/>
      <c r="AD126" s="1023"/>
      <c r="AE126" s="1024"/>
      <c r="AF126" s="1021">
        <f>SUM(AF125)</f>
        <v>0</v>
      </c>
      <c r="AG126" s="1020"/>
      <c r="AH126" s="1021">
        <f>SUM(AH125)</f>
        <v>0</v>
      </c>
      <c r="AI126" s="1020"/>
      <c r="AJ126" s="1021">
        <f>SUM(AJ125)</f>
        <v>0</v>
      </c>
      <c r="AK126" s="1022"/>
      <c r="AL126" s="1025">
        <f t="shared" si="52"/>
        <v>0</v>
      </c>
      <c r="AM126" s="1024"/>
      <c r="AN126" s="1025">
        <f t="shared" si="65"/>
        <v>0</v>
      </c>
      <c r="AO126" s="1026"/>
      <c r="AP126" s="28"/>
      <c r="AQ126" s="28"/>
      <c r="AR126" s="28"/>
      <c r="AS126" s="28"/>
      <c r="AT126" s="28"/>
    </row>
    <row r="127" spans="1:46" s="10" customFormat="1" ht="18" customHeight="1">
      <c r="A127" s="5"/>
      <c r="B127" s="86"/>
      <c r="C127" s="98" t="s">
        <v>249</v>
      </c>
      <c r="D127" s="1358" t="s">
        <v>187</v>
      </c>
      <c r="E127" s="1358" t="s">
        <v>187</v>
      </c>
      <c r="F127" s="135" t="s">
        <v>188</v>
      </c>
      <c r="G127" s="133" t="s">
        <v>189</v>
      </c>
      <c r="H127" s="31">
        <v>2097500</v>
      </c>
      <c r="I127" s="90"/>
      <c r="J127" s="31">
        <f>1270000+1270000</f>
        <v>2540000</v>
      </c>
      <c r="K127" s="90"/>
      <c r="L127" s="31">
        <v>825000</v>
      </c>
      <c r="M127" s="661"/>
      <c r="N127" s="89">
        <f t="shared" si="49"/>
        <v>5462500</v>
      </c>
      <c r="O127" s="34"/>
      <c r="P127" s="31">
        <v>1475000</v>
      </c>
      <c r="Q127" s="90"/>
      <c r="R127" s="31">
        <f>2663000+1864500</f>
        <v>4527500</v>
      </c>
      <c r="S127" s="90"/>
      <c r="T127" s="31"/>
      <c r="U127" s="661"/>
      <c r="V127" s="101">
        <f t="shared" si="50"/>
        <v>6002500</v>
      </c>
      <c r="W127" s="34"/>
      <c r="X127" s="31"/>
      <c r="Y127" s="90"/>
      <c r="Z127" s="31"/>
      <c r="AA127" s="90"/>
      <c r="AB127" s="31"/>
      <c r="AC127" s="661"/>
      <c r="AD127" s="89">
        <f t="shared" si="51"/>
        <v>0</v>
      </c>
      <c r="AE127" s="34"/>
      <c r="AF127" s="31"/>
      <c r="AG127" s="90"/>
      <c r="AH127" s="31"/>
      <c r="AI127" s="90"/>
      <c r="AJ127" s="31"/>
      <c r="AK127" s="661"/>
      <c r="AL127" s="101">
        <f t="shared" si="52"/>
        <v>0</v>
      </c>
      <c r="AM127" s="34"/>
      <c r="AN127" s="585">
        <f t="shared" si="65"/>
        <v>11465000</v>
      </c>
      <c r="AO127" s="40"/>
      <c r="AP127" s="28"/>
      <c r="AQ127" s="28"/>
      <c r="AR127" s="28"/>
      <c r="AS127" s="28"/>
      <c r="AT127" s="28"/>
    </row>
    <row r="128" spans="1:46" s="10" customFormat="1" ht="18" customHeight="1">
      <c r="A128" s="5"/>
      <c r="B128" s="86"/>
      <c r="C128" s="98" t="s">
        <v>249</v>
      </c>
      <c r="D128" s="1358" t="s">
        <v>187</v>
      </c>
      <c r="E128" s="1358" t="s">
        <v>187</v>
      </c>
      <c r="F128" s="135" t="s">
        <v>175</v>
      </c>
      <c r="G128" s="133" t="s">
        <v>190</v>
      </c>
      <c r="H128" s="31">
        <v>0</v>
      </c>
      <c r="I128" s="90"/>
      <c r="J128" s="31">
        <v>468000</v>
      </c>
      <c r="K128" s="90"/>
      <c r="L128" s="31">
        <v>0</v>
      </c>
      <c r="M128" s="661"/>
      <c r="N128" s="89">
        <f t="shared" si="49"/>
        <v>468000</v>
      </c>
      <c r="O128" s="34"/>
      <c r="P128" s="31">
        <v>0</v>
      </c>
      <c r="Q128" s="90"/>
      <c r="R128" s="31">
        <v>626000</v>
      </c>
      <c r="S128" s="90"/>
      <c r="T128" s="31"/>
      <c r="U128" s="661"/>
      <c r="V128" s="101">
        <f t="shared" si="50"/>
        <v>626000</v>
      </c>
      <c r="W128" s="34"/>
      <c r="X128" s="31"/>
      <c r="Y128" s="90"/>
      <c r="Z128" s="31"/>
      <c r="AA128" s="90"/>
      <c r="AB128" s="31"/>
      <c r="AC128" s="661"/>
      <c r="AD128" s="89">
        <f t="shared" si="51"/>
        <v>0</v>
      </c>
      <c r="AE128" s="34"/>
      <c r="AF128" s="31"/>
      <c r="AG128" s="90"/>
      <c r="AH128" s="31"/>
      <c r="AI128" s="90"/>
      <c r="AJ128" s="31"/>
      <c r="AK128" s="661"/>
      <c r="AL128" s="101">
        <f t="shared" si="52"/>
        <v>0</v>
      </c>
      <c r="AM128" s="34"/>
      <c r="AN128" s="585">
        <f t="shared" si="65"/>
        <v>1094000</v>
      </c>
      <c r="AO128" s="40"/>
      <c r="AP128" s="28"/>
      <c r="AQ128" s="28"/>
      <c r="AR128" s="28"/>
      <c r="AS128" s="28"/>
      <c r="AT128" s="28"/>
    </row>
    <row r="129" spans="1:46" s="10" customFormat="1" ht="18" customHeight="1">
      <c r="A129" s="5"/>
      <c r="B129" s="86"/>
      <c r="C129" s="98" t="s">
        <v>249</v>
      </c>
      <c r="D129" s="1358" t="s">
        <v>187</v>
      </c>
      <c r="E129" s="1358" t="s">
        <v>187</v>
      </c>
      <c r="F129" s="135" t="s">
        <v>191</v>
      </c>
      <c r="G129" s="133" t="s">
        <v>192</v>
      </c>
      <c r="H129" s="31">
        <v>22591</v>
      </c>
      <c r="I129" s="90"/>
      <c r="J129" s="31">
        <v>0</v>
      </c>
      <c r="K129" s="90"/>
      <c r="L129" s="31">
        <v>0</v>
      </c>
      <c r="M129" s="661"/>
      <c r="N129" s="89">
        <f t="shared" si="49"/>
        <v>22591</v>
      </c>
      <c r="O129" s="34"/>
      <c r="P129" s="31">
        <v>0</v>
      </c>
      <c r="Q129" s="90"/>
      <c r="R129" s="31">
        <v>0</v>
      </c>
      <c r="S129" s="90"/>
      <c r="T129" s="31"/>
      <c r="U129" s="661"/>
      <c r="V129" s="101">
        <f t="shared" si="50"/>
        <v>0</v>
      </c>
      <c r="W129" s="34"/>
      <c r="X129" s="31"/>
      <c r="Y129" s="90"/>
      <c r="Z129" s="31"/>
      <c r="AA129" s="90"/>
      <c r="AB129" s="31"/>
      <c r="AC129" s="661"/>
      <c r="AD129" s="89">
        <f t="shared" si="51"/>
        <v>0</v>
      </c>
      <c r="AE129" s="34"/>
      <c r="AF129" s="31"/>
      <c r="AG129" s="90"/>
      <c r="AH129" s="31"/>
      <c r="AI129" s="90"/>
      <c r="AJ129" s="31"/>
      <c r="AK129" s="661"/>
      <c r="AL129" s="101">
        <f t="shared" si="52"/>
        <v>0</v>
      </c>
      <c r="AM129" s="34"/>
      <c r="AN129" s="585">
        <f t="shared" si="65"/>
        <v>22591</v>
      </c>
      <c r="AO129" s="40"/>
      <c r="AP129" s="28"/>
      <c r="AQ129" s="28"/>
      <c r="AR129" s="28"/>
      <c r="AS129" s="28"/>
      <c r="AT129" s="28"/>
    </row>
    <row r="130" spans="1:46" s="10" customFormat="1" ht="18" customHeight="1">
      <c r="A130" s="5"/>
      <c r="B130" s="86"/>
      <c r="C130" s="98" t="s">
        <v>249</v>
      </c>
      <c r="D130" s="1358" t="s">
        <v>187</v>
      </c>
      <c r="E130" s="1358" t="s">
        <v>187</v>
      </c>
      <c r="F130" s="135" t="s">
        <v>193</v>
      </c>
      <c r="G130" s="133" t="s">
        <v>194</v>
      </c>
      <c r="H130" s="31">
        <v>0</v>
      </c>
      <c r="I130" s="90"/>
      <c r="J130" s="31">
        <v>118182</v>
      </c>
      <c r="K130" s="90"/>
      <c r="L130" s="31">
        <v>118182</v>
      </c>
      <c r="M130" s="661"/>
      <c r="N130" s="89">
        <f t="shared" si="49"/>
        <v>236364</v>
      </c>
      <c r="O130" s="34"/>
      <c r="P130" s="31">
        <v>1874546</v>
      </c>
      <c r="Q130" s="90"/>
      <c r="R130" s="31">
        <v>0</v>
      </c>
      <c r="S130" s="90"/>
      <c r="T130" s="31"/>
      <c r="U130" s="661"/>
      <c r="V130" s="101">
        <f t="shared" si="50"/>
        <v>1874546</v>
      </c>
      <c r="W130" s="34"/>
      <c r="X130" s="31"/>
      <c r="Y130" s="90"/>
      <c r="Z130" s="31"/>
      <c r="AA130" s="90"/>
      <c r="AB130" s="31"/>
      <c r="AC130" s="661"/>
      <c r="AD130" s="89">
        <f t="shared" si="51"/>
        <v>0</v>
      </c>
      <c r="AE130" s="34"/>
      <c r="AF130" s="31"/>
      <c r="AG130" s="90"/>
      <c r="AH130" s="31"/>
      <c r="AI130" s="90"/>
      <c r="AJ130" s="31"/>
      <c r="AK130" s="661"/>
      <c r="AL130" s="101">
        <f t="shared" si="52"/>
        <v>0</v>
      </c>
      <c r="AM130" s="34"/>
      <c r="AN130" s="585">
        <f t="shared" si="65"/>
        <v>2110910</v>
      </c>
      <c r="AO130" s="40"/>
      <c r="AP130" s="146"/>
      <c r="AQ130" s="28"/>
      <c r="AR130" s="28"/>
      <c r="AS130" s="28"/>
      <c r="AT130" s="28"/>
    </row>
    <row r="131" spans="1:46" s="10" customFormat="1" ht="18" customHeight="1">
      <c r="A131" s="5"/>
      <c r="B131" s="86"/>
      <c r="C131" s="98" t="s">
        <v>249</v>
      </c>
      <c r="D131" s="1358" t="s">
        <v>187</v>
      </c>
      <c r="E131" s="1358" t="s">
        <v>187</v>
      </c>
      <c r="F131" s="135" t="s">
        <v>195</v>
      </c>
      <c r="G131" s="133" t="s">
        <v>196</v>
      </c>
      <c r="H131" s="31">
        <v>283750</v>
      </c>
      <c r="I131" s="90"/>
      <c r="J131" s="31">
        <v>0</v>
      </c>
      <c r="K131" s="90"/>
      <c r="L131" s="31">
        <v>0</v>
      </c>
      <c r="M131" s="661"/>
      <c r="N131" s="89">
        <f t="shared" si="49"/>
        <v>283750</v>
      </c>
      <c r="O131" s="34"/>
      <c r="P131" s="31">
        <v>530000</v>
      </c>
      <c r="Q131" s="90"/>
      <c r="R131" s="31">
        <v>0</v>
      </c>
      <c r="S131" s="90"/>
      <c r="T131" s="31"/>
      <c r="U131" s="661"/>
      <c r="V131" s="101">
        <f t="shared" si="50"/>
        <v>530000</v>
      </c>
      <c r="W131" s="34"/>
      <c r="X131" s="31"/>
      <c r="Y131" s="90"/>
      <c r="Z131" s="31"/>
      <c r="AA131" s="90"/>
      <c r="AB131" s="31"/>
      <c r="AC131" s="661"/>
      <c r="AD131" s="89">
        <f t="shared" si="51"/>
        <v>0</v>
      </c>
      <c r="AE131" s="34"/>
      <c r="AF131" s="31"/>
      <c r="AG131" s="90"/>
      <c r="AH131" s="31"/>
      <c r="AI131" s="90"/>
      <c r="AJ131" s="31"/>
      <c r="AK131" s="661"/>
      <c r="AL131" s="101">
        <f t="shared" si="52"/>
        <v>0</v>
      </c>
      <c r="AM131" s="34"/>
      <c r="AN131" s="585">
        <f t="shared" si="65"/>
        <v>813750</v>
      </c>
      <c r="AO131" s="40"/>
      <c r="AP131" s="28"/>
      <c r="AQ131" s="28"/>
      <c r="AR131" s="28"/>
      <c r="AS131" s="28"/>
      <c r="AT131" s="28"/>
    </row>
    <row r="132" spans="1:46" s="10" customFormat="1" ht="15">
      <c r="A132" s="5"/>
      <c r="B132" s="86"/>
      <c r="C132" s="98" t="s">
        <v>249</v>
      </c>
      <c r="D132" s="1358" t="s">
        <v>187</v>
      </c>
      <c r="E132" s="1358" t="s">
        <v>187</v>
      </c>
      <c r="F132" s="135" t="s">
        <v>197</v>
      </c>
      <c r="G132" s="133" t="s">
        <v>198</v>
      </c>
      <c r="H132" s="31">
        <v>0</v>
      </c>
      <c r="I132" s="90"/>
      <c r="J132" s="31">
        <v>0</v>
      </c>
      <c r="K132" s="90"/>
      <c r="L132" s="31"/>
      <c r="M132" s="661"/>
      <c r="N132" s="89">
        <f t="shared" si="49"/>
        <v>0</v>
      </c>
      <c r="O132" s="34"/>
      <c r="P132" s="31"/>
      <c r="Q132" s="90"/>
      <c r="R132" s="31"/>
      <c r="S132" s="90"/>
      <c r="T132" s="31"/>
      <c r="U132" s="661"/>
      <c r="V132" s="101">
        <f t="shared" si="50"/>
        <v>0</v>
      </c>
      <c r="W132" s="34"/>
      <c r="X132" s="31"/>
      <c r="Y132" s="90"/>
      <c r="Z132" s="31"/>
      <c r="AA132" s="90"/>
      <c r="AB132" s="31"/>
      <c r="AC132" s="661"/>
      <c r="AD132" s="89">
        <f t="shared" si="51"/>
        <v>0</v>
      </c>
      <c r="AE132" s="34"/>
      <c r="AF132" s="31"/>
      <c r="AG132" s="90"/>
      <c r="AH132" s="31"/>
      <c r="AI132" s="90"/>
      <c r="AJ132" s="31"/>
      <c r="AK132" s="661"/>
      <c r="AL132" s="101">
        <f t="shared" si="52"/>
        <v>0</v>
      </c>
      <c r="AM132" s="34"/>
      <c r="AN132" s="585">
        <f t="shared" si="65"/>
        <v>0</v>
      </c>
      <c r="AO132" s="40"/>
      <c r="AP132" s="28"/>
      <c r="AQ132" s="28"/>
      <c r="AR132" s="28"/>
      <c r="AS132" s="28"/>
      <c r="AT132" s="28"/>
    </row>
    <row r="133" spans="1:46" s="10" customFormat="1" ht="18" customHeight="1">
      <c r="A133" s="5"/>
      <c r="B133" s="86"/>
      <c r="C133" s="98" t="s">
        <v>249</v>
      </c>
      <c r="D133" s="1358" t="s">
        <v>187</v>
      </c>
      <c r="E133" s="1358" t="s">
        <v>187</v>
      </c>
      <c r="F133" s="135" t="s">
        <v>177</v>
      </c>
      <c r="G133" s="133" t="s">
        <v>199</v>
      </c>
      <c r="H133" s="31">
        <v>0</v>
      </c>
      <c r="I133" s="90"/>
      <c r="J133" s="31">
        <v>0</v>
      </c>
      <c r="K133" s="90"/>
      <c r="L133" s="31">
        <v>0</v>
      </c>
      <c r="M133" s="661"/>
      <c r="N133" s="89">
        <f t="shared" si="49"/>
        <v>0</v>
      </c>
      <c r="O133" s="34"/>
      <c r="P133" s="31">
        <v>55000</v>
      </c>
      <c r="Q133" s="90"/>
      <c r="R133" s="31">
        <v>0</v>
      </c>
      <c r="S133" s="90"/>
      <c r="T133" s="31"/>
      <c r="U133" s="661"/>
      <c r="V133" s="101">
        <f t="shared" si="50"/>
        <v>55000</v>
      </c>
      <c r="W133" s="34"/>
      <c r="X133" s="31"/>
      <c r="Y133" s="90"/>
      <c r="Z133" s="31"/>
      <c r="AA133" s="90"/>
      <c r="AB133" s="31"/>
      <c r="AC133" s="661"/>
      <c r="AD133" s="89">
        <f t="shared" si="51"/>
        <v>0</v>
      </c>
      <c r="AE133" s="34"/>
      <c r="AF133" s="31"/>
      <c r="AG133" s="90"/>
      <c r="AH133" s="31"/>
      <c r="AI133" s="90"/>
      <c r="AJ133" s="31"/>
      <c r="AK133" s="661"/>
      <c r="AL133" s="101">
        <f t="shared" si="52"/>
        <v>0</v>
      </c>
      <c r="AM133" s="34"/>
      <c r="AN133" s="585">
        <f t="shared" si="65"/>
        <v>55000</v>
      </c>
      <c r="AO133" s="40"/>
      <c r="AP133" s="28"/>
      <c r="AQ133" s="28"/>
      <c r="AR133" s="28"/>
      <c r="AS133" s="28"/>
      <c r="AT133" s="28"/>
    </row>
    <row r="134" spans="1:46" s="10" customFormat="1" ht="15">
      <c r="A134" s="5"/>
      <c r="B134" s="86"/>
      <c r="C134" s="98" t="s">
        <v>249</v>
      </c>
      <c r="D134" s="1358" t="s">
        <v>187</v>
      </c>
      <c r="E134" s="1358" t="s">
        <v>187</v>
      </c>
      <c r="F134" s="147" t="s">
        <v>200</v>
      </c>
      <c r="G134" s="148" t="s">
        <v>201</v>
      </c>
      <c r="H134" s="31">
        <v>0</v>
      </c>
      <c r="I134" s="90"/>
      <c r="J134" s="31">
        <v>100000</v>
      </c>
      <c r="K134" s="90"/>
      <c r="L134" s="31">
        <v>0</v>
      </c>
      <c r="M134" s="661"/>
      <c r="N134" s="89">
        <f t="shared" si="49"/>
        <v>100000</v>
      </c>
      <c r="O134" s="34"/>
      <c r="P134" s="31">
        <v>0</v>
      </c>
      <c r="Q134" s="90"/>
      <c r="R134" s="31">
        <v>0</v>
      </c>
      <c r="S134" s="90"/>
      <c r="T134" s="31"/>
      <c r="U134" s="661"/>
      <c r="V134" s="101">
        <f t="shared" si="50"/>
        <v>0</v>
      </c>
      <c r="W134" s="34"/>
      <c r="X134" s="31"/>
      <c r="Y134" s="90"/>
      <c r="Z134" s="31"/>
      <c r="AA134" s="90"/>
      <c r="AB134" s="31"/>
      <c r="AC134" s="661"/>
      <c r="AD134" s="89">
        <f t="shared" si="51"/>
        <v>0</v>
      </c>
      <c r="AE134" s="34"/>
      <c r="AF134" s="31"/>
      <c r="AG134" s="90"/>
      <c r="AH134" s="31"/>
      <c r="AI134" s="90"/>
      <c r="AJ134" s="31"/>
      <c r="AK134" s="661"/>
      <c r="AL134" s="101">
        <f t="shared" si="52"/>
        <v>0</v>
      </c>
      <c r="AM134" s="34"/>
      <c r="AN134" s="585">
        <f t="shared" si="65"/>
        <v>100000</v>
      </c>
      <c r="AO134" s="40"/>
      <c r="AP134" s="28"/>
      <c r="AQ134" s="28"/>
      <c r="AR134" s="28"/>
      <c r="AS134" s="28"/>
      <c r="AT134" s="28"/>
    </row>
    <row r="135" spans="1:46" s="10" customFormat="1" ht="18" hidden="1" customHeight="1">
      <c r="A135" s="5"/>
      <c r="B135" s="86"/>
      <c r="C135" s="98" t="s">
        <v>249</v>
      </c>
      <c r="D135" s="1358" t="s">
        <v>187</v>
      </c>
      <c r="E135" s="1358" t="s">
        <v>187</v>
      </c>
      <c r="F135" s="147" t="s">
        <v>202</v>
      </c>
      <c r="G135" s="148" t="s">
        <v>203</v>
      </c>
      <c r="H135" s="31">
        <v>0</v>
      </c>
      <c r="I135" s="90"/>
      <c r="J135" s="31">
        <v>0</v>
      </c>
      <c r="K135" s="90"/>
      <c r="L135" s="31"/>
      <c r="M135" s="661"/>
      <c r="N135" s="89">
        <f t="shared" si="49"/>
        <v>0</v>
      </c>
      <c r="O135" s="34"/>
      <c r="P135" s="31"/>
      <c r="Q135" s="90"/>
      <c r="R135" s="31"/>
      <c r="S135" s="90"/>
      <c r="T135" s="31"/>
      <c r="U135" s="661"/>
      <c r="V135" s="101">
        <f t="shared" si="50"/>
        <v>0</v>
      </c>
      <c r="W135" s="34"/>
      <c r="X135" s="31"/>
      <c r="Y135" s="90"/>
      <c r="Z135" s="31"/>
      <c r="AA135" s="90"/>
      <c r="AB135" s="31"/>
      <c r="AC135" s="661"/>
      <c r="AD135" s="89">
        <f t="shared" si="51"/>
        <v>0</v>
      </c>
      <c r="AE135" s="34"/>
      <c r="AF135" s="31"/>
      <c r="AG135" s="90"/>
      <c r="AH135" s="31"/>
      <c r="AI135" s="90"/>
      <c r="AJ135" s="31"/>
      <c r="AK135" s="661"/>
      <c r="AL135" s="101">
        <f t="shared" si="52"/>
        <v>0</v>
      </c>
      <c r="AM135" s="34"/>
      <c r="AN135" s="585">
        <f t="shared" si="65"/>
        <v>0</v>
      </c>
      <c r="AO135" s="40"/>
      <c r="AP135" s="28"/>
      <c r="AQ135" s="28"/>
      <c r="AR135" s="28"/>
      <c r="AS135" s="28"/>
      <c r="AT135" s="28"/>
    </row>
    <row r="136" spans="1:46" s="10" customFormat="1" ht="18" hidden="1" customHeight="1">
      <c r="A136" s="5"/>
      <c r="B136" s="86"/>
      <c r="C136" s="98" t="s">
        <v>249</v>
      </c>
      <c r="D136" s="1358" t="s">
        <v>187</v>
      </c>
      <c r="E136" s="1358" t="s">
        <v>187</v>
      </c>
      <c r="F136" s="147" t="s">
        <v>204</v>
      </c>
      <c r="G136" s="148" t="s">
        <v>205</v>
      </c>
      <c r="H136" s="31">
        <v>0</v>
      </c>
      <c r="I136" s="90"/>
      <c r="J136" s="31">
        <v>0</v>
      </c>
      <c r="K136" s="90"/>
      <c r="L136" s="31"/>
      <c r="M136" s="661"/>
      <c r="N136" s="89">
        <f t="shared" si="49"/>
        <v>0</v>
      </c>
      <c r="O136" s="34"/>
      <c r="P136" s="31"/>
      <c r="Q136" s="90"/>
      <c r="R136" s="31"/>
      <c r="S136" s="90"/>
      <c r="T136" s="31"/>
      <c r="U136" s="661"/>
      <c r="V136" s="101">
        <f t="shared" si="50"/>
        <v>0</v>
      </c>
      <c r="W136" s="34"/>
      <c r="X136" s="31"/>
      <c r="Y136" s="90"/>
      <c r="Z136" s="31"/>
      <c r="AA136" s="90"/>
      <c r="AB136" s="31"/>
      <c r="AC136" s="661"/>
      <c r="AD136" s="89">
        <f t="shared" si="51"/>
        <v>0</v>
      </c>
      <c r="AE136" s="34"/>
      <c r="AF136" s="31"/>
      <c r="AG136" s="90"/>
      <c r="AH136" s="31"/>
      <c r="AI136" s="90"/>
      <c r="AJ136" s="31"/>
      <c r="AK136" s="661"/>
      <c r="AL136" s="101">
        <f t="shared" si="52"/>
        <v>0</v>
      </c>
      <c r="AM136" s="34"/>
      <c r="AN136" s="585">
        <f t="shared" si="65"/>
        <v>0</v>
      </c>
      <c r="AO136" s="40"/>
      <c r="AP136" s="28"/>
      <c r="AQ136" s="28"/>
      <c r="AR136" s="28"/>
      <c r="AS136" s="28"/>
      <c r="AT136" s="28"/>
    </row>
    <row r="137" spans="1:46" s="10" customFormat="1" ht="15">
      <c r="A137" s="5"/>
      <c r="B137" s="86"/>
      <c r="C137" s="98" t="s">
        <v>249</v>
      </c>
      <c r="D137" s="1358" t="s">
        <v>187</v>
      </c>
      <c r="E137" s="1358" t="s">
        <v>187</v>
      </c>
      <c r="F137" s="1370" t="s">
        <v>171</v>
      </c>
      <c r="G137" s="133" t="s">
        <v>172</v>
      </c>
      <c r="H137" s="31">
        <v>0</v>
      </c>
      <c r="I137" s="90"/>
      <c r="J137" s="31">
        <v>0</v>
      </c>
      <c r="K137" s="90"/>
      <c r="L137" s="31"/>
      <c r="M137" s="661"/>
      <c r="N137" s="89">
        <f t="shared" ref="N137:N151" si="66">SUM(H137,J137,L137)</f>
        <v>0</v>
      </c>
      <c r="O137" s="34"/>
      <c r="P137" s="31"/>
      <c r="Q137" s="90"/>
      <c r="R137" s="31"/>
      <c r="S137" s="90"/>
      <c r="T137" s="31"/>
      <c r="U137" s="661"/>
      <c r="V137" s="101">
        <f t="shared" ref="V137:V162" si="67">SUM(P137,R137,T137)</f>
        <v>0</v>
      </c>
      <c r="W137" s="34"/>
      <c r="X137" s="31"/>
      <c r="Y137" s="90"/>
      <c r="Z137" s="31"/>
      <c r="AA137" s="90"/>
      <c r="AB137" s="31"/>
      <c r="AC137" s="661"/>
      <c r="AD137" s="89">
        <f t="shared" ref="AD137:AD162" si="68">SUM(X137,Z137,AB137)</f>
        <v>0</v>
      </c>
      <c r="AE137" s="34"/>
      <c r="AF137" s="31"/>
      <c r="AG137" s="90"/>
      <c r="AH137" s="31"/>
      <c r="AI137" s="90"/>
      <c r="AJ137" s="31"/>
      <c r="AK137" s="661"/>
      <c r="AL137" s="101">
        <f t="shared" ref="AL137:AL162" si="69">SUM(AF137,AH137,AJ137)</f>
        <v>0</v>
      </c>
      <c r="AM137" s="34"/>
      <c r="AN137" s="585">
        <f t="shared" si="65"/>
        <v>0</v>
      </c>
      <c r="AO137" s="40"/>
      <c r="AP137" s="28"/>
      <c r="AQ137" s="28"/>
      <c r="AR137" s="28"/>
      <c r="AS137" s="28"/>
      <c r="AT137" s="28"/>
    </row>
    <row r="138" spans="1:46" s="10" customFormat="1" ht="18" customHeight="1">
      <c r="A138" s="5"/>
      <c r="B138" s="86"/>
      <c r="C138" s="98" t="s">
        <v>249</v>
      </c>
      <c r="D138" s="1358" t="s">
        <v>187</v>
      </c>
      <c r="E138" s="1358" t="s">
        <v>187</v>
      </c>
      <c r="F138" s="147" t="s">
        <v>589</v>
      </c>
      <c r="G138" s="133" t="s">
        <v>590</v>
      </c>
      <c r="H138" s="31">
        <v>0</v>
      </c>
      <c r="I138" s="90"/>
      <c r="J138" s="31">
        <v>990000</v>
      </c>
      <c r="K138" s="90"/>
      <c r="L138" s="31">
        <v>0</v>
      </c>
      <c r="M138" s="661"/>
      <c r="N138" s="89">
        <f t="shared" si="66"/>
        <v>990000</v>
      </c>
      <c r="O138" s="34"/>
      <c r="P138" s="31">
        <v>0</v>
      </c>
      <c r="Q138" s="90"/>
      <c r="R138" s="31">
        <v>0</v>
      </c>
      <c r="S138" s="90"/>
      <c r="T138" s="31"/>
      <c r="U138" s="661"/>
      <c r="V138" s="101">
        <f t="shared" si="67"/>
        <v>0</v>
      </c>
      <c r="W138" s="34"/>
      <c r="X138" s="31"/>
      <c r="Y138" s="90"/>
      <c r="Z138" s="31"/>
      <c r="AA138" s="90"/>
      <c r="AB138" s="31"/>
      <c r="AC138" s="661"/>
      <c r="AD138" s="89">
        <f t="shared" si="68"/>
        <v>0</v>
      </c>
      <c r="AE138" s="34"/>
      <c r="AF138" s="31"/>
      <c r="AG138" s="90"/>
      <c r="AH138" s="31"/>
      <c r="AI138" s="90"/>
      <c r="AJ138" s="31"/>
      <c r="AK138" s="661"/>
      <c r="AL138" s="101">
        <f t="shared" si="69"/>
        <v>0</v>
      </c>
      <c r="AM138" s="34"/>
      <c r="AN138" s="585">
        <f t="shared" si="65"/>
        <v>990000</v>
      </c>
      <c r="AO138" s="40"/>
      <c r="AP138" s="28"/>
      <c r="AQ138" s="28"/>
      <c r="AR138" s="28"/>
      <c r="AS138" s="28"/>
      <c r="AT138" s="28"/>
    </row>
    <row r="139" spans="1:46" s="10" customFormat="1" ht="18" customHeight="1">
      <c r="A139" s="5"/>
      <c r="B139" s="86"/>
      <c r="C139" s="98" t="s">
        <v>249</v>
      </c>
      <c r="D139" s="1358" t="s">
        <v>187</v>
      </c>
      <c r="E139" s="1358" t="s">
        <v>187</v>
      </c>
      <c r="F139" s="147" t="s">
        <v>640</v>
      </c>
      <c r="G139" s="133" t="s">
        <v>641</v>
      </c>
      <c r="H139" s="31">
        <v>0</v>
      </c>
      <c r="I139" s="90"/>
      <c r="J139" s="31">
        <v>0</v>
      </c>
      <c r="K139" s="90"/>
      <c r="L139" s="31">
        <v>82000</v>
      </c>
      <c r="M139" s="661"/>
      <c r="N139" s="89">
        <f t="shared" si="66"/>
        <v>82000</v>
      </c>
      <c r="O139" s="34"/>
      <c r="P139" s="31">
        <v>0</v>
      </c>
      <c r="Q139" s="90"/>
      <c r="R139" s="31">
        <v>0</v>
      </c>
      <c r="S139" s="90"/>
      <c r="T139" s="31"/>
      <c r="U139" s="661"/>
      <c r="V139" s="101">
        <f t="shared" si="67"/>
        <v>0</v>
      </c>
      <c r="W139" s="34"/>
      <c r="X139" s="31"/>
      <c r="Y139" s="90"/>
      <c r="Z139" s="31"/>
      <c r="AA139" s="90"/>
      <c r="AB139" s="31"/>
      <c r="AC139" s="661"/>
      <c r="AD139" s="89">
        <f t="shared" si="68"/>
        <v>0</v>
      </c>
      <c r="AE139" s="34"/>
      <c r="AF139" s="31"/>
      <c r="AG139" s="90"/>
      <c r="AH139" s="31"/>
      <c r="AI139" s="90"/>
      <c r="AJ139" s="31"/>
      <c r="AK139" s="661"/>
      <c r="AL139" s="101">
        <f t="shared" si="69"/>
        <v>0</v>
      </c>
      <c r="AM139" s="34"/>
      <c r="AN139" s="585">
        <f t="shared" si="65"/>
        <v>82000</v>
      </c>
      <c r="AO139" s="40"/>
      <c r="AP139" s="28"/>
      <c r="AQ139" s="28"/>
      <c r="AR139" s="28"/>
      <c r="AS139" s="28"/>
      <c r="AT139" s="28"/>
    </row>
    <row r="140" spans="1:46" s="10" customFormat="1" ht="18" customHeight="1">
      <c r="A140" s="5"/>
      <c r="B140" s="86"/>
      <c r="C140" s="98" t="s">
        <v>249</v>
      </c>
      <c r="D140" s="1358" t="s">
        <v>187</v>
      </c>
      <c r="E140" s="1358" t="s">
        <v>187</v>
      </c>
      <c r="F140" s="147" t="s">
        <v>204</v>
      </c>
      <c r="G140" s="133" t="s">
        <v>639</v>
      </c>
      <c r="H140" s="31">
        <v>0</v>
      </c>
      <c r="I140" s="90"/>
      <c r="J140" s="31">
        <v>0</v>
      </c>
      <c r="K140" s="90"/>
      <c r="L140" s="31">
        <v>900000</v>
      </c>
      <c r="M140" s="661"/>
      <c r="N140" s="89">
        <f t="shared" si="66"/>
        <v>900000</v>
      </c>
      <c r="O140" s="34"/>
      <c r="P140" s="31">
        <v>0</v>
      </c>
      <c r="Q140" s="90"/>
      <c r="R140" s="31">
        <v>0</v>
      </c>
      <c r="S140" s="90"/>
      <c r="T140" s="31"/>
      <c r="U140" s="661"/>
      <c r="V140" s="101">
        <f t="shared" si="67"/>
        <v>0</v>
      </c>
      <c r="W140" s="34"/>
      <c r="X140" s="31"/>
      <c r="Y140" s="90"/>
      <c r="Z140" s="31"/>
      <c r="AA140" s="90"/>
      <c r="AB140" s="31"/>
      <c r="AC140" s="661"/>
      <c r="AD140" s="89">
        <f t="shared" si="68"/>
        <v>0</v>
      </c>
      <c r="AE140" s="34"/>
      <c r="AF140" s="31"/>
      <c r="AG140" s="90"/>
      <c r="AH140" s="31"/>
      <c r="AI140" s="90"/>
      <c r="AJ140" s="31"/>
      <c r="AK140" s="661"/>
      <c r="AL140" s="101">
        <f t="shared" si="69"/>
        <v>0</v>
      </c>
      <c r="AM140" s="34"/>
      <c r="AN140" s="585">
        <f t="shared" si="65"/>
        <v>900000</v>
      </c>
      <c r="AO140" s="40"/>
      <c r="AP140" s="28"/>
      <c r="AQ140" s="28"/>
      <c r="AR140" s="28"/>
      <c r="AS140" s="28"/>
      <c r="AT140" s="28"/>
    </row>
    <row r="141" spans="1:46" s="10" customFormat="1" ht="18" customHeight="1">
      <c r="A141" s="5"/>
      <c r="B141" s="86"/>
      <c r="C141" s="98" t="s">
        <v>249</v>
      </c>
      <c r="D141" s="1358" t="s">
        <v>187</v>
      </c>
      <c r="E141" s="1358" t="s">
        <v>187</v>
      </c>
      <c r="F141" s="147" t="s">
        <v>635</v>
      </c>
      <c r="G141" s="133" t="s">
        <v>638</v>
      </c>
      <c r="H141" s="31">
        <v>0</v>
      </c>
      <c r="I141" s="90"/>
      <c r="J141" s="31">
        <v>0</v>
      </c>
      <c r="K141" s="90"/>
      <c r="L141" s="31">
        <v>900000</v>
      </c>
      <c r="M141" s="661"/>
      <c r="N141" s="89">
        <f t="shared" si="66"/>
        <v>900000</v>
      </c>
      <c r="O141" s="34"/>
      <c r="P141" s="31">
        <v>0</v>
      </c>
      <c r="Q141" s="90"/>
      <c r="R141" s="31">
        <v>0</v>
      </c>
      <c r="S141" s="90"/>
      <c r="T141" s="31"/>
      <c r="U141" s="661"/>
      <c r="V141" s="101">
        <f t="shared" si="67"/>
        <v>0</v>
      </c>
      <c r="W141" s="34"/>
      <c r="X141" s="31"/>
      <c r="Y141" s="90"/>
      <c r="Z141" s="31"/>
      <c r="AA141" s="90"/>
      <c r="AB141" s="31"/>
      <c r="AC141" s="661"/>
      <c r="AD141" s="89">
        <f t="shared" si="68"/>
        <v>0</v>
      </c>
      <c r="AE141" s="34"/>
      <c r="AF141" s="31"/>
      <c r="AG141" s="90"/>
      <c r="AH141" s="31"/>
      <c r="AI141" s="90"/>
      <c r="AJ141" s="31"/>
      <c r="AK141" s="661"/>
      <c r="AL141" s="101">
        <f t="shared" si="69"/>
        <v>0</v>
      </c>
      <c r="AM141" s="34"/>
      <c r="AN141" s="585">
        <f t="shared" si="65"/>
        <v>900000</v>
      </c>
      <c r="AO141" s="40"/>
      <c r="AP141" s="28"/>
      <c r="AQ141" s="28"/>
      <c r="AR141" s="28"/>
      <c r="AS141" s="28"/>
      <c r="AT141" s="28"/>
    </row>
    <row r="142" spans="1:46" s="10" customFormat="1" ht="18" customHeight="1">
      <c r="A142" s="5"/>
      <c r="B142" s="86"/>
      <c r="C142" s="98" t="s">
        <v>249</v>
      </c>
      <c r="D142" s="1358" t="s">
        <v>187</v>
      </c>
      <c r="E142" s="1358" t="s">
        <v>187</v>
      </c>
      <c r="F142" s="147" t="s">
        <v>698</v>
      </c>
      <c r="G142" s="133" t="s">
        <v>699</v>
      </c>
      <c r="H142" s="31">
        <v>0</v>
      </c>
      <c r="I142" s="90"/>
      <c r="J142" s="31">
        <v>0</v>
      </c>
      <c r="K142" s="90"/>
      <c r="L142" s="31">
        <v>0</v>
      </c>
      <c r="M142" s="661"/>
      <c r="N142" s="89">
        <f t="shared" si="66"/>
        <v>0</v>
      </c>
      <c r="O142" s="34"/>
      <c r="P142" s="31">
        <v>150000</v>
      </c>
      <c r="Q142" s="90"/>
      <c r="R142" s="31">
        <v>0</v>
      </c>
      <c r="S142" s="90"/>
      <c r="T142" s="31"/>
      <c r="U142" s="661"/>
      <c r="V142" s="101">
        <f t="shared" si="67"/>
        <v>150000</v>
      </c>
      <c r="W142" s="34"/>
      <c r="X142" s="31"/>
      <c r="Y142" s="90"/>
      <c r="Z142" s="31"/>
      <c r="AA142" s="90"/>
      <c r="AB142" s="31"/>
      <c r="AC142" s="661"/>
      <c r="AD142" s="89">
        <f t="shared" si="68"/>
        <v>0</v>
      </c>
      <c r="AE142" s="34"/>
      <c r="AF142" s="31"/>
      <c r="AG142" s="90"/>
      <c r="AH142" s="31"/>
      <c r="AI142" s="90"/>
      <c r="AJ142" s="31"/>
      <c r="AK142" s="661"/>
      <c r="AL142" s="101">
        <f t="shared" si="69"/>
        <v>0</v>
      </c>
      <c r="AM142" s="34"/>
      <c r="AN142" s="585">
        <f t="shared" si="65"/>
        <v>150000</v>
      </c>
      <c r="AO142" s="40"/>
      <c r="AP142" s="28"/>
      <c r="AQ142" s="28"/>
      <c r="AR142" s="28"/>
      <c r="AS142" s="28"/>
      <c r="AT142" s="28"/>
    </row>
    <row r="143" spans="1:46" s="10" customFormat="1" ht="18" customHeight="1">
      <c r="A143" s="5"/>
      <c r="B143" s="86"/>
      <c r="C143" s="98" t="s">
        <v>249</v>
      </c>
      <c r="D143" s="1358" t="s">
        <v>187</v>
      </c>
      <c r="E143" s="1358" t="s">
        <v>187</v>
      </c>
      <c r="F143" s="147" t="s">
        <v>700</v>
      </c>
      <c r="G143" s="133" t="s">
        <v>701</v>
      </c>
      <c r="H143" s="31">
        <v>0</v>
      </c>
      <c r="I143" s="90"/>
      <c r="J143" s="31">
        <v>0</v>
      </c>
      <c r="K143" s="90"/>
      <c r="L143" s="31">
        <v>0</v>
      </c>
      <c r="M143" s="661"/>
      <c r="N143" s="89">
        <f t="shared" si="66"/>
        <v>0</v>
      </c>
      <c r="O143" s="34"/>
      <c r="P143" s="31">
        <v>99000</v>
      </c>
      <c r="Q143" s="90"/>
      <c r="R143" s="31">
        <v>0</v>
      </c>
      <c r="S143" s="90"/>
      <c r="T143" s="31"/>
      <c r="U143" s="661"/>
      <c r="V143" s="101">
        <f t="shared" si="67"/>
        <v>99000</v>
      </c>
      <c r="W143" s="34"/>
      <c r="X143" s="31"/>
      <c r="Y143" s="90"/>
      <c r="Z143" s="31"/>
      <c r="AA143" s="90"/>
      <c r="AB143" s="31"/>
      <c r="AC143" s="661"/>
      <c r="AD143" s="89">
        <f t="shared" si="68"/>
        <v>0</v>
      </c>
      <c r="AE143" s="34"/>
      <c r="AF143" s="31"/>
      <c r="AG143" s="90"/>
      <c r="AH143" s="31"/>
      <c r="AI143" s="90"/>
      <c r="AJ143" s="31"/>
      <c r="AK143" s="661"/>
      <c r="AL143" s="101">
        <f t="shared" si="69"/>
        <v>0</v>
      </c>
      <c r="AM143" s="34"/>
      <c r="AN143" s="585">
        <f t="shared" si="65"/>
        <v>99000</v>
      </c>
      <c r="AO143" s="40"/>
      <c r="AP143" s="28"/>
      <c r="AQ143" s="28"/>
      <c r="AR143" s="28"/>
      <c r="AS143" s="28"/>
      <c r="AT143" s="28"/>
    </row>
    <row r="144" spans="1:46" s="10" customFormat="1" ht="18" customHeight="1">
      <c r="A144" s="5"/>
      <c r="B144" s="86"/>
      <c r="C144" s="98" t="s">
        <v>249</v>
      </c>
      <c r="D144" s="1358" t="s">
        <v>187</v>
      </c>
      <c r="E144" s="1358" t="s">
        <v>187</v>
      </c>
      <c r="F144" s="147" t="s">
        <v>173</v>
      </c>
      <c r="G144" s="133" t="s">
        <v>1019</v>
      </c>
      <c r="H144" s="31">
        <v>0</v>
      </c>
      <c r="I144" s="90"/>
      <c r="J144" s="31">
        <v>0</v>
      </c>
      <c r="K144" s="90"/>
      <c r="L144" s="31">
        <v>0</v>
      </c>
      <c r="M144" s="661"/>
      <c r="N144" s="89">
        <f t="shared" ref="N144" si="70">SUM(H144,J144,L144)</f>
        <v>0</v>
      </c>
      <c r="O144" s="34"/>
      <c r="P144" s="31">
        <v>0</v>
      </c>
      <c r="Q144" s="90"/>
      <c r="R144" s="31">
        <v>625000</v>
      </c>
      <c r="S144" s="90"/>
      <c r="T144" s="31"/>
      <c r="U144" s="661"/>
      <c r="V144" s="101">
        <f t="shared" ref="V144" si="71">SUM(P144,R144,T144)</f>
        <v>625000</v>
      </c>
      <c r="W144" s="34"/>
      <c r="X144" s="31"/>
      <c r="Y144" s="90"/>
      <c r="Z144" s="31"/>
      <c r="AA144" s="90"/>
      <c r="AB144" s="31"/>
      <c r="AC144" s="661"/>
      <c r="AD144" s="89">
        <f t="shared" ref="AD144" si="72">SUM(X144,Z144,AB144)</f>
        <v>0</v>
      </c>
      <c r="AE144" s="34"/>
      <c r="AF144" s="31"/>
      <c r="AG144" s="90"/>
      <c r="AH144" s="31"/>
      <c r="AI144" s="90"/>
      <c r="AJ144" s="31"/>
      <c r="AK144" s="661"/>
      <c r="AL144" s="101">
        <f t="shared" ref="AL144" si="73">SUM(AF144,AH144,AJ144)</f>
        <v>0</v>
      </c>
      <c r="AM144" s="34"/>
      <c r="AN144" s="585">
        <f t="shared" ref="AN144" si="74">SUM(N144+V144+AD144+AL144)</f>
        <v>625000</v>
      </c>
      <c r="AO144" s="40"/>
      <c r="AP144" s="28"/>
      <c r="AQ144" s="28"/>
      <c r="AR144" s="28"/>
      <c r="AS144" s="28"/>
      <c r="AT144" s="28"/>
    </row>
    <row r="145" spans="1:46" s="10" customFormat="1" ht="18" customHeight="1">
      <c r="A145" s="5"/>
      <c r="B145" s="86"/>
      <c r="C145" s="98" t="s">
        <v>249</v>
      </c>
      <c r="D145" s="1358" t="s">
        <v>187</v>
      </c>
      <c r="E145" s="1358" t="s">
        <v>187</v>
      </c>
      <c r="F145" s="149" t="s">
        <v>206</v>
      </c>
      <c r="G145" s="150" t="s">
        <v>207</v>
      </c>
      <c r="H145" s="31">
        <v>500110</v>
      </c>
      <c r="I145" s="90"/>
      <c r="J145" s="31">
        <v>1181590</v>
      </c>
      <c r="K145" s="90"/>
      <c r="L145" s="784">
        <v>290230</v>
      </c>
      <c r="M145" s="661"/>
      <c r="N145" s="89">
        <f t="shared" si="66"/>
        <v>1971930</v>
      </c>
      <c r="O145" s="34"/>
      <c r="P145" s="31">
        <v>417530</v>
      </c>
      <c r="Q145" s="90"/>
      <c r="R145" s="31">
        <v>696530</v>
      </c>
      <c r="S145" s="90"/>
      <c r="T145" s="31"/>
      <c r="U145" s="661"/>
      <c r="V145" s="101">
        <f t="shared" si="67"/>
        <v>1114060</v>
      </c>
      <c r="W145" s="34"/>
      <c r="X145" s="31"/>
      <c r="Y145" s="90"/>
      <c r="Z145" s="31"/>
      <c r="AA145" s="90"/>
      <c r="AB145" s="31"/>
      <c r="AC145" s="661"/>
      <c r="AD145" s="89">
        <f t="shared" si="68"/>
        <v>0</v>
      </c>
      <c r="AE145" s="34"/>
      <c r="AF145" s="31"/>
      <c r="AG145" s="90"/>
      <c r="AH145" s="31"/>
      <c r="AI145" s="90"/>
      <c r="AJ145" s="31"/>
      <c r="AK145" s="661"/>
      <c r="AL145" s="101">
        <f t="shared" si="69"/>
        <v>0</v>
      </c>
      <c r="AM145" s="34"/>
      <c r="AN145" s="585">
        <f t="shared" si="65"/>
        <v>3085990</v>
      </c>
      <c r="AO145" s="40" t="s">
        <v>208</v>
      </c>
      <c r="AP145" s="28"/>
      <c r="AQ145" s="28"/>
      <c r="AR145" s="28"/>
      <c r="AS145" s="28"/>
      <c r="AT145" s="28"/>
    </row>
    <row r="146" spans="1:46" s="10" customFormat="1" ht="18" customHeight="1">
      <c r="A146" s="5"/>
      <c r="B146" s="86"/>
      <c r="C146" s="98" t="s">
        <v>249</v>
      </c>
      <c r="D146" s="1065" t="s">
        <v>514</v>
      </c>
      <c r="E146" s="1066"/>
      <c r="F146" s="1066"/>
      <c r="G146" s="1067"/>
      <c r="H146" s="605">
        <f>SUM(H127:H145)</f>
        <v>2903951</v>
      </c>
      <c r="I146" s="635"/>
      <c r="J146" s="605">
        <f>SUM(J127:J145)</f>
        <v>5397772</v>
      </c>
      <c r="K146" s="635"/>
      <c r="L146" s="605">
        <f>SUM(L127:L145)</f>
        <v>3115412</v>
      </c>
      <c r="M146" s="684"/>
      <c r="N146" s="607">
        <f t="shared" si="66"/>
        <v>11417135</v>
      </c>
      <c r="O146" s="636"/>
      <c r="P146" s="605">
        <f>SUM(P127:P145)</f>
        <v>4601076</v>
      </c>
      <c r="Q146" s="635"/>
      <c r="R146" s="605">
        <f>SUM(R127:R145)</f>
        <v>6475030</v>
      </c>
      <c r="S146" s="635"/>
      <c r="T146" s="605">
        <f>SUM(T127:T145)</f>
        <v>0</v>
      </c>
      <c r="U146" s="684"/>
      <c r="V146" s="609">
        <f t="shared" si="67"/>
        <v>11076106</v>
      </c>
      <c r="W146" s="636"/>
      <c r="X146" s="605">
        <f>SUM(X127:X145)</f>
        <v>0</v>
      </c>
      <c r="Y146" s="635"/>
      <c r="Z146" s="605">
        <f>SUM(Z127:Z145)</f>
        <v>0</v>
      </c>
      <c r="AA146" s="635"/>
      <c r="AB146" s="605">
        <f>SUM(AB127:AB145)</f>
        <v>0</v>
      </c>
      <c r="AC146" s="684"/>
      <c r="AD146" s="607">
        <f t="shared" si="68"/>
        <v>0</v>
      </c>
      <c r="AE146" s="636"/>
      <c r="AF146" s="605">
        <f>SUM(AF127:AF145)</f>
        <v>0</v>
      </c>
      <c r="AG146" s="635"/>
      <c r="AH146" s="605">
        <f>SUM(AH127:AH145)</f>
        <v>0</v>
      </c>
      <c r="AI146" s="635"/>
      <c r="AJ146" s="605">
        <f>SUM(AJ127:AJ145)</f>
        <v>0</v>
      </c>
      <c r="AK146" s="684"/>
      <c r="AL146" s="609">
        <f t="shared" si="69"/>
        <v>0</v>
      </c>
      <c r="AM146" s="636"/>
      <c r="AN146" s="609">
        <f t="shared" si="65"/>
        <v>22493241</v>
      </c>
      <c r="AO146" s="637"/>
      <c r="AP146" s="28"/>
      <c r="AQ146" s="28"/>
      <c r="AR146" s="28"/>
      <c r="AS146" s="28"/>
      <c r="AT146" s="28"/>
    </row>
    <row r="147" spans="1:46" s="10" customFormat="1" ht="18" customHeight="1">
      <c r="A147" s="5"/>
      <c r="B147" s="86"/>
      <c r="C147" s="98" t="s">
        <v>249</v>
      </c>
      <c r="D147" s="1363" t="s">
        <v>130</v>
      </c>
      <c r="E147" s="1363" t="s">
        <v>130</v>
      </c>
      <c r="F147" s="507" t="s">
        <v>209</v>
      </c>
      <c r="G147" s="133" t="s">
        <v>210</v>
      </c>
      <c r="H147" s="31">
        <v>150000</v>
      </c>
      <c r="I147" s="90"/>
      <c r="J147" s="31">
        <v>150000</v>
      </c>
      <c r="K147" s="90"/>
      <c r="L147" s="31">
        <v>150000</v>
      </c>
      <c r="M147" s="661"/>
      <c r="N147" s="89">
        <f t="shared" si="66"/>
        <v>450000</v>
      </c>
      <c r="O147" s="34"/>
      <c r="P147" s="31">
        <v>150000</v>
      </c>
      <c r="Q147" s="90"/>
      <c r="R147" s="31">
        <v>150000</v>
      </c>
      <c r="S147" s="90"/>
      <c r="T147" s="31"/>
      <c r="U147" s="661"/>
      <c r="V147" s="101">
        <f t="shared" si="67"/>
        <v>300000</v>
      </c>
      <c r="W147" s="34"/>
      <c r="X147" s="31"/>
      <c r="Y147" s="90"/>
      <c r="Z147" s="31"/>
      <c r="AA147" s="90"/>
      <c r="AB147" s="31"/>
      <c r="AC147" s="661"/>
      <c r="AD147" s="89">
        <f t="shared" si="68"/>
        <v>0</v>
      </c>
      <c r="AE147" s="34"/>
      <c r="AF147" s="31"/>
      <c r="AG147" s="90"/>
      <c r="AH147" s="31"/>
      <c r="AI147" s="90"/>
      <c r="AJ147" s="31"/>
      <c r="AK147" s="661"/>
      <c r="AL147" s="101">
        <f t="shared" si="69"/>
        <v>0</v>
      </c>
      <c r="AM147" s="34"/>
      <c r="AN147" s="585">
        <f t="shared" si="65"/>
        <v>750000</v>
      </c>
      <c r="AO147" s="40"/>
      <c r="AP147" s="28"/>
      <c r="AQ147" s="28"/>
      <c r="AR147" s="28"/>
      <c r="AS147" s="28"/>
      <c r="AT147" s="28"/>
    </row>
    <row r="148" spans="1:46" s="10" customFormat="1" ht="18" customHeight="1">
      <c r="A148" s="5"/>
      <c r="B148" s="86"/>
      <c r="C148" s="98" t="s">
        <v>249</v>
      </c>
      <c r="D148" s="1363" t="s">
        <v>130</v>
      </c>
      <c r="E148" s="1363" t="s">
        <v>130</v>
      </c>
      <c r="F148" s="507" t="s">
        <v>211</v>
      </c>
      <c r="G148" s="133" t="s">
        <v>212</v>
      </c>
      <c r="H148" s="31">
        <v>200000</v>
      </c>
      <c r="I148" s="90"/>
      <c r="J148" s="31">
        <v>200000</v>
      </c>
      <c r="K148" s="90"/>
      <c r="L148" s="31">
        <v>200000</v>
      </c>
      <c r="M148" s="661"/>
      <c r="N148" s="89">
        <f t="shared" si="66"/>
        <v>600000</v>
      </c>
      <c r="O148" s="34"/>
      <c r="P148" s="31">
        <v>200000</v>
      </c>
      <c r="Q148" s="90"/>
      <c r="R148" s="31">
        <v>200000</v>
      </c>
      <c r="S148" s="90"/>
      <c r="T148" s="31"/>
      <c r="U148" s="661"/>
      <c r="V148" s="101">
        <f t="shared" si="67"/>
        <v>400000</v>
      </c>
      <c r="W148" s="34"/>
      <c r="X148" s="31"/>
      <c r="Y148" s="90"/>
      <c r="Z148" s="31"/>
      <c r="AA148" s="90"/>
      <c r="AB148" s="31"/>
      <c r="AC148" s="661"/>
      <c r="AD148" s="89">
        <f t="shared" si="68"/>
        <v>0</v>
      </c>
      <c r="AE148" s="34"/>
      <c r="AF148" s="31"/>
      <c r="AG148" s="90"/>
      <c r="AH148" s="31"/>
      <c r="AI148" s="90"/>
      <c r="AJ148" s="31"/>
      <c r="AK148" s="661"/>
      <c r="AL148" s="101">
        <f t="shared" si="69"/>
        <v>0</v>
      </c>
      <c r="AM148" s="34"/>
      <c r="AN148" s="585">
        <f t="shared" si="65"/>
        <v>1000000</v>
      </c>
      <c r="AO148" s="40"/>
      <c r="AP148" s="28"/>
      <c r="AQ148" s="28"/>
      <c r="AR148" s="28"/>
      <c r="AS148" s="28"/>
      <c r="AT148" s="28"/>
    </row>
    <row r="149" spans="1:46" s="10" customFormat="1" ht="18" customHeight="1">
      <c r="A149" s="5"/>
      <c r="B149" s="86"/>
      <c r="C149" s="98" t="s">
        <v>249</v>
      </c>
      <c r="D149" s="1363" t="s">
        <v>130</v>
      </c>
      <c r="E149" s="1363" t="s">
        <v>130</v>
      </c>
      <c r="F149" s="507" t="s">
        <v>173</v>
      </c>
      <c r="G149" s="133" t="s">
        <v>591</v>
      </c>
      <c r="H149" s="31">
        <v>1000000</v>
      </c>
      <c r="I149" s="90"/>
      <c r="J149" s="31">
        <v>1000000</v>
      </c>
      <c r="K149" s="90"/>
      <c r="L149" s="31">
        <v>1000000</v>
      </c>
      <c r="M149" s="661"/>
      <c r="N149" s="89">
        <f t="shared" si="66"/>
        <v>3000000</v>
      </c>
      <c r="O149" s="34"/>
      <c r="P149" s="31">
        <v>1000000</v>
      </c>
      <c r="Q149" s="90"/>
      <c r="R149" s="31">
        <v>1000000</v>
      </c>
      <c r="S149" s="90"/>
      <c r="T149" s="31"/>
      <c r="U149" s="661"/>
      <c r="V149" s="101">
        <f t="shared" si="67"/>
        <v>2000000</v>
      </c>
      <c r="W149" s="34"/>
      <c r="X149" s="31"/>
      <c r="Y149" s="90"/>
      <c r="Z149" s="31"/>
      <c r="AA149" s="90"/>
      <c r="AB149" s="31"/>
      <c r="AC149" s="661"/>
      <c r="AD149" s="89">
        <f t="shared" si="68"/>
        <v>0</v>
      </c>
      <c r="AE149" s="34"/>
      <c r="AF149" s="31"/>
      <c r="AG149" s="90"/>
      <c r="AH149" s="31"/>
      <c r="AI149" s="90"/>
      <c r="AJ149" s="31"/>
      <c r="AK149" s="661"/>
      <c r="AL149" s="101">
        <f t="shared" si="69"/>
        <v>0</v>
      </c>
      <c r="AM149" s="34"/>
      <c r="AN149" s="585">
        <f t="shared" si="65"/>
        <v>5000000</v>
      </c>
      <c r="AO149" s="40"/>
      <c r="AP149" s="28"/>
      <c r="AQ149" s="28"/>
      <c r="AR149" s="28"/>
      <c r="AS149" s="28"/>
      <c r="AT149" s="28"/>
    </row>
    <row r="150" spans="1:46" s="10" customFormat="1" ht="18" hidden="1" customHeight="1">
      <c r="A150" s="5"/>
      <c r="B150" s="86"/>
      <c r="C150" s="98" t="s">
        <v>249</v>
      </c>
      <c r="D150" s="1363" t="s">
        <v>130</v>
      </c>
      <c r="E150" s="1363" t="s">
        <v>130</v>
      </c>
      <c r="F150" s="508" t="s">
        <v>213</v>
      </c>
      <c r="G150" s="148" t="s">
        <v>214</v>
      </c>
      <c r="H150" s="31">
        <v>0</v>
      </c>
      <c r="I150" s="90"/>
      <c r="J150" s="31">
        <v>0</v>
      </c>
      <c r="K150" s="90"/>
      <c r="L150" s="31">
        <v>0</v>
      </c>
      <c r="M150" s="661"/>
      <c r="N150" s="89">
        <f t="shared" si="66"/>
        <v>0</v>
      </c>
      <c r="O150" s="34"/>
      <c r="P150" s="31"/>
      <c r="Q150" s="90"/>
      <c r="R150" s="31"/>
      <c r="S150" s="90"/>
      <c r="T150" s="31"/>
      <c r="U150" s="661"/>
      <c r="V150" s="101">
        <f t="shared" si="67"/>
        <v>0</v>
      </c>
      <c r="W150" s="34"/>
      <c r="X150" s="31"/>
      <c r="Y150" s="90"/>
      <c r="Z150" s="31"/>
      <c r="AA150" s="90"/>
      <c r="AB150" s="31"/>
      <c r="AC150" s="661"/>
      <c r="AD150" s="89">
        <f t="shared" si="68"/>
        <v>0</v>
      </c>
      <c r="AE150" s="34"/>
      <c r="AF150" s="31"/>
      <c r="AG150" s="90"/>
      <c r="AH150" s="31"/>
      <c r="AI150" s="90"/>
      <c r="AJ150" s="31"/>
      <c r="AK150" s="661"/>
      <c r="AL150" s="101">
        <f t="shared" si="69"/>
        <v>0</v>
      </c>
      <c r="AM150" s="34"/>
      <c r="AN150" s="585">
        <f t="shared" si="65"/>
        <v>0</v>
      </c>
      <c r="AO150" s="40"/>
      <c r="AP150" s="28"/>
      <c r="AQ150" s="28"/>
      <c r="AR150" s="28"/>
      <c r="AS150" s="28"/>
      <c r="AT150" s="28"/>
    </row>
    <row r="151" spans="1:46" s="10" customFormat="1" ht="18" customHeight="1">
      <c r="A151" s="5"/>
      <c r="B151" s="86"/>
      <c r="C151" s="98" t="s">
        <v>249</v>
      </c>
      <c r="D151" s="1363" t="s">
        <v>130</v>
      </c>
      <c r="E151" s="1363" t="s">
        <v>130</v>
      </c>
      <c r="F151" s="508" t="s">
        <v>151</v>
      </c>
      <c r="G151" s="148" t="s">
        <v>710</v>
      </c>
      <c r="H151" s="31">
        <v>0</v>
      </c>
      <c r="I151" s="90"/>
      <c r="J151" s="31">
        <v>0</v>
      </c>
      <c r="K151" s="90"/>
      <c r="L151" s="31">
        <v>0</v>
      </c>
      <c r="M151" s="661"/>
      <c r="N151" s="89">
        <f t="shared" si="66"/>
        <v>0</v>
      </c>
      <c r="O151" s="34"/>
      <c r="P151" s="31">
        <f>104700-900</f>
        <v>103800</v>
      </c>
      <c r="Q151" s="90"/>
      <c r="R151" s="31">
        <v>0</v>
      </c>
      <c r="S151" s="90"/>
      <c r="T151" s="31"/>
      <c r="U151" s="661"/>
      <c r="V151" s="101">
        <f t="shared" si="67"/>
        <v>103800</v>
      </c>
      <c r="W151" s="34"/>
      <c r="X151" s="31"/>
      <c r="Y151" s="90"/>
      <c r="Z151" s="31"/>
      <c r="AA151" s="90"/>
      <c r="AB151" s="31"/>
      <c r="AC151" s="661"/>
      <c r="AD151" s="89">
        <f t="shared" si="68"/>
        <v>0</v>
      </c>
      <c r="AE151" s="34"/>
      <c r="AF151" s="31"/>
      <c r="AG151" s="90"/>
      <c r="AH151" s="31"/>
      <c r="AI151" s="90"/>
      <c r="AJ151" s="31"/>
      <c r="AK151" s="661"/>
      <c r="AL151" s="101">
        <f t="shared" si="69"/>
        <v>0</v>
      </c>
      <c r="AM151" s="34"/>
      <c r="AN151" s="585">
        <f t="shared" si="65"/>
        <v>103800</v>
      </c>
      <c r="AO151" s="40"/>
      <c r="AP151" s="28"/>
      <c r="AQ151" s="28"/>
      <c r="AR151" s="28"/>
      <c r="AS151" s="28"/>
      <c r="AT151" s="28"/>
    </row>
    <row r="152" spans="1:46" s="10" customFormat="1" ht="18" customHeight="1">
      <c r="A152" s="5"/>
      <c r="B152" s="86"/>
      <c r="C152" s="98" t="s">
        <v>249</v>
      </c>
      <c r="D152" s="1363" t="s">
        <v>130</v>
      </c>
      <c r="E152" s="1363" t="s">
        <v>130</v>
      </c>
      <c r="F152" s="507" t="s">
        <v>215</v>
      </c>
      <c r="G152" s="133" t="s">
        <v>216</v>
      </c>
      <c r="H152" s="31">
        <v>0</v>
      </c>
      <c r="I152" s="90"/>
      <c r="J152" s="31">
        <v>38182</v>
      </c>
      <c r="K152" s="90"/>
      <c r="L152" s="31">
        <v>0</v>
      </c>
      <c r="M152" s="661"/>
      <c r="N152" s="89">
        <f t="shared" ref="N152:N162" si="75">SUM(H152,J152,L152)</f>
        <v>38182</v>
      </c>
      <c r="O152" s="34"/>
      <c r="P152" s="31">
        <v>25771</v>
      </c>
      <c r="Q152" s="90"/>
      <c r="R152" s="31">
        <v>0</v>
      </c>
      <c r="S152" s="90"/>
      <c r="T152" s="31"/>
      <c r="U152" s="661"/>
      <c r="V152" s="101">
        <f t="shared" si="67"/>
        <v>25771</v>
      </c>
      <c r="W152" s="34"/>
      <c r="X152" s="31"/>
      <c r="Y152" s="90"/>
      <c r="Z152" s="31"/>
      <c r="AA152" s="90"/>
      <c r="AB152" s="31"/>
      <c r="AC152" s="661"/>
      <c r="AD152" s="89">
        <f t="shared" si="68"/>
        <v>0</v>
      </c>
      <c r="AE152" s="34"/>
      <c r="AF152" s="31"/>
      <c r="AG152" s="90"/>
      <c r="AH152" s="31"/>
      <c r="AI152" s="90"/>
      <c r="AJ152" s="31"/>
      <c r="AK152" s="661"/>
      <c r="AL152" s="101">
        <f t="shared" si="69"/>
        <v>0</v>
      </c>
      <c r="AM152" s="34"/>
      <c r="AN152" s="585">
        <f t="shared" si="65"/>
        <v>63953</v>
      </c>
      <c r="AO152" s="40"/>
      <c r="AP152" s="28"/>
      <c r="AQ152" s="28"/>
      <c r="AR152" s="28"/>
      <c r="AS152" s="28"/>
      <c r="AT152" s="28"/>
    </row>
    <row r="153" spans="1:46" s="10" customFormat="1" ht="18" customHeight="1">
      <c r="A153" s="5"/>
      <c r="B153" s="86"/>
      <c r="C153" s="98" t="s">
        <v>249</v>
      </c>
      <c r="D153" s="1363" t="s">
        <v>130</v>
      </c>
      <c r="E153" s="1363" t="s">
        <v>130</v>
      </c>
      <c r="F153" s="507" t="s">
        <v>486</v>
      </c>
      <c r="G153" s="133" t="s">
        <v>131</v>
      </c>
      <c r="H153" s="31">
        <v>0</v>
      </c>
      <c r="I153" s="90"/>
      <c r="J153" s="31">
        <v>0</v>
      </c>
      <c r="K153" s="90"/>
      <c r="L153" s="31">
        <v>0</v>
      </c>
      <c r="M153" s="661"/>
      <c r="N153" s="89">
        <f t="shared" si="75"/>
        <v>0</v>
      </c>
      <c r="O153" s="34"/>
      <c r="P153" s="31">
        <v>355000</v>
      </c>
      <c r="Q153" s="90"/>
      <c r="R153" s="31">
        <v>0</v>
      </c>
      <c r="S153" s="90"/>
      <c r="T153" s="31"/>
      <c r="U153" s="661"/>
      <c r="V153" s="101">
        <f t="shared" si="67"/>
        <v>355000</v>
      </c>
      <c r="W153" s="34"/>
      <c r="X153" s="31"/>
      <c r="Y153" s="90"/>
      <c r="Z153" s="31"/>
      <c r="AA153" s="90"/>
      <c r="AB153" s="31"/>
      <c r="AC153" s="661"/>
      <c r="AD153" s="89">
        <f t="shared" si="68"/>
        <v>0</v>
      </c>
      <c r="AE153" s="34"/>
      <c r="AF153" s="31"/>
      <c r="AG153" s="90"/>
      <c r="AH153" s="31"/>
      <c r="AI153" s="90"/>
      <c r="AJ153" s="31"/>
      <c r="AK153" s="661"/>
      <c r="AL153" s="101">
        <f t="shared" si="69"/>
        <v>0</v>
      </c>
      <c r="AM153" s="34"/>
      <c r="AN153" s="585">
        <f t="shared" si="65"/>
        <v>355000</v>
      </c>
      <c r="AO153" s="40"/>
      <c r="AP153" s="28"/>
      <c r="AQ153" s="28"/>
      <c r="AR153" s="28"/>
      <c r="AS153" s="28"/>
      <c r="AT153" s="28"/>
    </row>
    <row r="154" spans="1:46" s="10" customFormat="1" ht="18" hidden="1" customHeight="1">
      <c r="A154" s="5"/>
      <c r="B154" s="86">
        <v>100</v>
      </c>
      <c r="C154" s="98" t="s">
        <v>249</v>
      </c>
      <c r="D154" s="833"/>
      <c r="E154" s="833"/>
      <c r="F154" s="507" t="s">
        <v>257</v>
      </c>
      <c r="G154" s="133" t="s">
        <v>258</v>
      </c>
      <c r="H154" s="30">
        <v>0</v>
      </c>
      <c r="I154" s="90"/>
      <c r="J154" s="30">
        <v>0</v>
      </c>
      <c r="K154" s="90"/>
      <c r="L154" s="32"/>
      <c r="M154" s="661"/>
      <c r="N154" s="89">
        <f t="shared" si="75"/>
        <v>0</v>
      </c>
      <c r="O154" s="34"/>
      <c r="P154" s="32"/>
      <c r="Q154" s="90"/>
      <c r="R154" s="32"/>
      <c r="S154" s="90"/>
      <c r="T154" s="32"/>
      <c r="U154" s="661"/>
      <c r="V154" s="89">
        <f t="shared" si="67"/>
        <v>0</v>
      </c>
      <c r="W154" s="34"/>
      <c r="X154" s="32"/>
      <c r="Y154" s="90"/>
      <c r="Z154" s="32"/>
      <c r="AA154" s="90"/>
      <c r="AB154" s="32"/>
      <c r="AC154" s="661"/>
      <c r="AD154" s="89">
        <f t="shared" si="68"/>
        <v>0</v>
      </c>
      <c r="AE154" s="34"/>
      <c r="AF154" s="32"/>
      <c r="AG154" s="90"/>
      <c r="AH154" s="32"/>
      <c r="AI154" s="90"/>
      <c r="AJ154" s="32"/>
      <c r="AK154" s="661"/>
      <c r="AL154" s="89">
        <f t="shared" si="69"/>
        <v>0</v>
      </c>
      <c r="AM154" s="34"/>
      <c r="AN154" s="585">
        <f t="shared" si="65"/>
        <v>0</v>
      </c>
      <c r="AO154" s="40"/>
      <c r="AP154" s="28"/>
      <c r="AQ154" s="28"/>
      <c r="AR154" s="28"/>
      <c r="AS154" s="28"/>
      <c r="AT154" s="28"/>
    </row>
    <row r="155" spans="1:46" s="10" customFormat="1" ht="18" customHeight="1">
      <c r="A155" s="5"/>
      <c r="B155" s="86"/>
      <c r="C155" s="98" t="s">
        <v>249</v>
      </c>
      <c r="D155" s="1083" t="s">
        <v>507</v>
      </c>
      <c r="E155" s="1084"/>
      <c r="F155" s="1084"/>
      <c r="G155" s="1085"/>
      <c r="H155" s="509">
        <f>SUM(H147:H154)</f>
        <v>1350000</v>
      </c>
      <c r="I155" s="510"/>
      <c r="J155" s="509">
        <f>SUM(J147:J154)</f>
        <v>1388182</v>
      </c>
      <c r="K155" s="510"/>
      <c r="L155" s="511">
        <f>SUM(L147:L154)</f>
        <v>1350000</v>
      </c>
      <c r="M155" s="685"/>
      <c r="N155" s="512">
        <f t="shared" si="75"/>
        <v>4088182</v>
      </c>
      <c r="O155" s="513"/>
      <c r="P155" s="511">
        <f>SUM(P147:P154)</f>
        <v>1834571</v>
      </c>
      <c r="Q155" s="510"/>
      <c r="R155" s="511">
        <f>SUM(R147:R154)</f>
        <v>1350000</v>
      </c>
      <c r="S155" s="510"/>
      <c r="T155" s="511">
        <f>SUM(T147:T154)</f>
        <v>0</v>
      </c>
      <c r="U155" s="685"/>
      <c r="V155" s="514">
        <f t="shared" si="67"/>
        <v>3184571</v>
      </c>
      <c r="W155" s="513"/>
      <c r="X155" s="511">
        <f>SUM(X147:X154)</f>
        <v>0</v>
      </c>
      <c r="Y155" s="510"/>
      <c r="Z155" s="511">
        <f>SUM(Z147:Z154)</f>
        <v>0</v>
      </c>
      <c r="AA155" s="510"/>
      <c r="AB155" s="511">
        <f>SUM(AB147:AB154)</f>
        <v>0</v>
      </c>
      <c r="AC155" s="685"/>
      <c r="AD155" s="512">
        <f t="shared" si="68"/>
        <v>0</v>
      </c>
      <c r="AE155" s="513"/>
      <c r="AF155" s="511">
        <f>SUM(AF147:AF154)</f>
        <v>0</v>
      </c>
      <c r="AG155" s="510"/>
      <c r="AH155" s="511">
        <f>SUM(AH147:AH154)</f>
        <v>0</v>
      </c>
      <c r="AI155" s="510"/>
      <c r="AJ155" s="511">
        <f>SUM(AJ147:AJ154)</f>
        <v>0</v>
      </c>
      <c r="AK155" s="685"/>
      <c r="AL155" s="514">
        <f t="shared" si="69"/>
        <v>0</v>
      </c>
      <c r="AM155" s="513"/>
      <c r="AN155" s="514">
        <f t="shared" si="65"/>
        <v>7272753</v>
      </c>
      <c r="AO155" s="506"/>
      <c r="AP155" s="28"/>
      <c r="AQ155" s="28"/>
      <c r="AR155" s="28"/>
      <c r="AS155" s="28"/>
      <c r="AT155" s="28"/>
    </row>
    <row r="156" spans="1:46" s="10" customFormat="1" ht="18" customHeight="1">
      <c r="A156" s="5"/>
      <c r="B156" s="86"/>
      <c r="C156" s="98" t="s">
        <v>249</v>
      </c>
      <c r="D156" s="1364" t="s">
        <v>224</v>
      </c>
      <c r="E156" s="1364" t="s">
        <v>224</v>
      </c>
      <c r="F156" s="543" t="s">
        <v>225</v>
      </c>
      <c r="G156" s="475" t="s">
        <v>226</v>
      </c>
      <c r="H156" s="31">
        <v>0</v>
      </c>
      <c r="I156" s="90"/>
      <c r="J156" s="31">
        <v>0</v>
      </c>
      <c r="K156" s="90"/>
      <c r="L156" s="31">
        <v>0</v>
      </c>
      <c r="M156" s="661"/>
      <c r="N156" s="89">
        <f t="shared" si="75"/>
        <v>0</v>
      </c>
      <c r="O156" s="34"/>
      <c r="P156" s="31">
        <v>0</v>
      </c>
      <c r="Q156" s="90"/>
      <c r="R156" s="31">
        <v>0</v>
      </c>
      <c r="S156" s="90"/>
      <c r="T156" s="31"/>
      <c r="U156" s="661"/>
      <c r="V156" s="101">
        <f t="shared" si="67"/>
        <v>0</v>
      </c>
      <c r="W156" s="34"/>
      <c r="X156" s="31"/>
      <c r="Y156" s="90"/>
      <c r="Z156" s="31"/>
      <c r="AA156" s="90"/>
      <c r="AB156" s="31"/>
      <c r="AC156" s="661"/>
      <c r="AD156" s="89">
        <f t="shared" si="68"/>
        <v>0</v>
      </c>
      <c r="AE156" s="34"/>
      <c r="AF156" s="31"/>
      <c r="AG156" s="90"/>
      <c r="AH156" s="31"/>
      <c r="AI156" s="90"/>
      <c r="AJ156" s="31"/>
      <c r="AK156" s="661"/>
      <c r="AL156" s="101">
        <f t="shared" si="69"/>
        <v>0</v>
      </c>
      <c r="AM156" s="34"/>
      <c r="AN156" s="585">
        <f t="shared" si="65"/>
        <v>0</v>
      </c>
      <c r="AO156" s="40"/>
      <c r="AP156" s="28"/>
      <c r="AQ156" s="28"/>
      <c r="AR156" s="28"/>
      <c r="AS156" s="28"/>
      <c r="AT156" s="28"/>
    </row>
    <row r="157" spans="1:46" s="10" customFormat="1" ht="18" customHeight="1">
      <c r="A157" s="5"/>
      <c r="B157" s="86"/>
      <c r="C157" s="98" t="s">
        <v>249</v>
      </c>
      <c r="D157" s="1364" t="s">
        <v>224</v>
      </c>
      <c r="E157" s="1364" t="s">
        <v>224</v>
      </c>
      <c r="F157" s="544" t="s">
        <v>259</v>
      </c>
      <c r="G157" s="153" t="s">
        <v>260</v>
      </c>
      <c r="H157" s="30">
        <v>0</v>
      </c>
      <c r="I157" s="90"/>
      <c r="J157" s="30">
        <v>0</v>
      </c>
      <c r="K157" s="90"/>
      <c r="L157" s="32">
        <v>0</v>
      </c>
      <c r="M157" s="661"/>
      <c r="N157" s="89">
        <f t="shared" si="75"/>
        <v>0</v>
      </c>
      <c r="O157" s="34"/>
      <c r="P157" s="32">
        <v>0</v>
      </c>
      <c r="Q157" s="90"/>
      <c r="R157" s="32">
        <v>0</v>
      </c>
      <c r="S157" s="90"/>
      <c r="T157" s="32"/>
      <c r="U157" s="661"/>
      <c r="V157" s="89">
        <f t="shared" si="67"/>
        <v>0</v>
      </c>
      <c r="W157" s="34"/>
      <c r="X157" s="32"/>
      <c r="Y157" s="90"/>
      <c r="Z157" s="32"/>
      <c r="AA157" s="90"/>
      <c r="AB157" s="32"/>
      <c r="AC157" s="661"/>
      <c r="AD157" s="89">
        <f t="shared" si="68"/>
        <v>0</v>
      </c>
      <c r="AE157" s="34"/>
      <c r="AF157" s="32"/>
      <c r="AG157" s="90"/>
      <c r="AH157" s="32"/>
      <c r="AI157" s="90"/>
      <c r="AJ157" s="32"/>
      <c r="AK157" s="661"/>
      <c r="AL157" s="89">
        <f t="shared" si="69"/>
        <v>0</v>
      </c>
      <c r="AM157" s="34"/>
      <c r="AN157" s="585">
        <f t="shared" si="65"/>
        <v>0</v>
      </c>
      <c r="AO157" s="40"/>
      <c r="AP157" s="28"/>
      <c r="AQ157" s="28"/>
      <c r="AR157" s="28"/>
      <c r="AS157" s="28"/>
      <c r="AT157" s="28"/>
    </row>
    <row r="158" spans="1:46" s="10" customFormat="1" ht="18" customHeight="1">
      <c r="A158" s="5"/>
      <c r="B158" s="86"/>
      <c r="C158" s="98" t="s">
        <v>249</v>
      </c>
      <c r="D158" s="1056" t="s">
        <v>509</v>
      </c>
      <c r="E158" s="1057"/>
      <c r="F158" s="1057"/>
      <c r="G158" s="1058"/>
      <c r="H158" s="545">
        <f>SUM(H156:H157)</f>
        <v>0</v>
      </c>
      <c r="I158" s="546"/>
      <c r="J158" s="545">
        <f>SUM(J156:J157)</f>
        <v>0</v>
      </c>
      <c r="K158" s="546"/>
      <c r="L158" s="547">
        <f>SUM(L156:L157)</f>
        <v>0</v>
      </c>
      <c r="M158" s="686"/>
      <c r="N158" s="548">
        <f t="shared" si="75"/>
        <v>0</v>
      </c>
      <c r="O158" s="549"/>
      <c r="P158" s="547">
        <f>SUM(P156:P157)</f>
        <v>0</v>
      </c>
      <c r="Q158" s="546"/>
      <c r="R158" s="547">
        <f>SUM(R156:R157)</f>
        <v>0</v>
      </c>
      <c r="S158" s="546"/>
      <c r="T158" s="547">
        <f>SUM(T156:T157)</f>
        <v>0</v>
      </c>
      <c r="U158" s="686"/>
      <c r="V158" s="550">
        <f t="shared" si="67"/>
        <v>0</v>
      </c>
      <c r="W158" s="549"/>
      <c r="X158" s="547">
        <f>SUM(X156:X157)</f>
        <v>0</v>
      </c>
      <c r="Y158" s="546"/>
      <c r="Z158" s="547">
        <f>SUM(Z156:Z157)</f>
        <v>0</v>
      </c>
      <c r="AA158" s="546"/>
      <c r="AB158" s="547">
        <f>SUM(AB156:AB157)</f>
        <v>0</v>
      </c>
      <c r="AC158" s="686"/>
      <c r="AD158" s="548">
        <f t="shared" si="68"/>
        <v>0</v>
      </c>
      <c r="AE158" s="549"/>
      <c r="AF158" s="547">
        <f>SUM(AF156:AF157)</f>
        <v>0</v>
      </c>
      <c r="AG158" s="546"/>
      <c r="AH158" s="547">
        <f>SUM(AH156:AH157)</f>
        <v>0</v>
      </c>
      <c r="AI158" s="546"/>
      <c r="AJ158" s="547">
        <f>SUM(AJ156:AJ157)</f>
        <v>0</v>
      </c>
      <c r="AK158" s="686"/>
      <c r="AL158" s="550">
        <f t="shared" si="69"/>
        <v>0</v>
      </c>
      <c r="AM158" s="549"/>
      <c r="AN158" s="550">
        <f t="shared" si="65"/>
        <v>0</v>
      </c>
      <c r="AO158" s="551"/>
      <c r="AP158" s="28"/>
      <c r="AQ158" s="28"/>
      <c r="AR158" s="28"/>
      <c r="AS158" s="28"/>
      <c r="AT158" s="28"/>
    </row>
    <row r="159" spans="1:46" s="10" customFormat="1" ht="18" customHeight="1">
      <c r="A159" s="5"/>
      <c r="B159" s="86"/>
      <c r="C159" s="98" t="s">
        <v>249</v>
      </c>
      <c r="D159" s="568" t="s">
        <v>221</v>
      </c>
      <c r="E159" s="568" t="s">
        <v>221</v>
      </c>
      <c r="F159" s="569" t="s">
        <v>222</v>
      </c>
      <c r="G159" s="478" t="s">
        <v>223</v>
      </c>
      <c r="H159" s="31">
        <v>0</v>
      </c>
      <c r="I159" s="90"/>
      <c r="J159" s="31">
        <v>0</v>
      </c>
      <c r="K159" s="90"/>
      <c r="L159" s="31">
        <v>0</v>
      </c>
      <c r="M159" s="661"/>
      <c r="N159" s="89">
        <f t="shared" si="75"/>
        <v>0</v>
      </c>
      <c r="O159" s="34"/>
      <c r="P159" s="31">
        <v>0</v>
      </c>
      <c r="Q159" s="90"/>
      <c r="R159" s="31">
        <v>0</v>
      </c>
      <c r="S159" s="90"/>
      <c r="T159" s="31"/>
      <c r="U159" s="661"/>
      <c r="V159" s="101">
        <f t="shared" si="67"/>
        <v>0</v>
      </c>
      <c r="W159" s="34"/>
      <c r="X159" s="31"/>
      <c r="Y159" s="90"/>
      <c r="Z159" s="31"/>
      <c r="AA159" s="90"/>
      <c r="AB159" s="31"/>
      <c r="AC159" s="661"/>
      <c r="AD159" s="89">
        <f t="shared" si="68"/>
        <v>0</v>
      </c>
      <c r="AE159" s="34"/>
      <c r="AF159" s="31"/>
      <c r="AG159" s="90"/>
      <c r="AH159" s="31"/>
      <c r="AI159" s="90"/>
      <c r="AJ159" s="31"/>
      <c r="AK159" s="661"/>
      <c r="AL159" s="101">
        <f t="shared" si="69"/>
        <v>0</v>
      </c>
      <c r="AM159" s="34"/>
      <c r="AN159" s="585">
        <f t="shared" si="65"/>
        <v>0</v>
      </c>
      <c r="AO159" s="40"/>
      <c r="AP159" s="28"/>
      <c r="AQ159" s="28"/>
      <c r="AR159" s="28"/>
      <c r="AS159" s="28"/>
      <c r="AT159" s="28"/>
    </row>
    <row r="160" spans="1:46" s="10" customFormat="1" ht="18" customHeight="1">
      <c r="A160" s="5"/>
      <c r="B160" s="86"/>
      <c r="C160" s="98" t="s">
        <v>249</v>
      </c>
      <c r="D160" s="1053" t="s">
        <v>510</v>
      </c>
      <c r="E160" s="1054"/>
      <c r="F160" s="1054"/>
      <c r="G160" s="1055"/>
      <c r="H160" s="570">
        <f>SUM(H159)</f>
        <v>0</v>
      </c>
      <c r="I160" s="571"/>
      <c r="J160" s="572">
        <f>SUM(J159)</f>
        <v>0</v>
      </c>
      <c r="K160" s="571"/>
      <c r="L160" s="572">
        <f>SUM(L159)</f>
        <v>0</v>
      </c>
      <c r="M160" s="687"/>
      <c r="N160" s="573">
        <f t="shared" si="75"/>
        <v>0</v>
      </c>
      <c r="O160" s="574"/>
      <c r="P160" s="572">
        <f>SUM(P159)</f>
        <v>0</v>
      </c>
      <c r="Q160" s="571"/>
      <c r="R160" s="572">
        <f>SUM(R159)</f>
        <v>0</v>
      </c>
      <c r="S160" s="571"/>
      <c r="T160" s="572">
        <f>SUM(T159)</f>
        <v>0</v>
      </c>
      <c r="U160" s="687"/>
      <c r="V160" s="575">
        <f t="shared" si="67"/>
        <v>0</v>
      </c>
      <c r="W160" s="574"/>
      <c r="X160" s="572">
        <f>SUM(X159)</f>
        <v>0</v>
      </c>
      <c r="Y160" s="571"/>
      <c r="Z160" s="572">
        <f>SUM(Z159)</f>
        <v>0</v>
      </c>
      <c r="AA160" s="571"/>
      <c r="AB160" s="572">
        <f>SUM(AB159)</f>
        <v>0</v>
      </c>
      <c r="AC160" s="687"/>
      <c r="AD160" s="573">
        <f t="shared" si="68"/>
        <v>0</v>
      </c>
      <c r="AE160" s="574"/>
      <c r="AF160" s="572">
        <f>SUM(AF159)</f>
        <v>0</v>
      </c>
      <c r="AG160" s="571"/>
      <c r="AH160" s="572">
        <f>SUM(AH159)</f>
        <v>0</v>
      </c>
      <c r="AI160" s="571"/>
      <c r="AJ160" s="572">
        <f>SUM(AJ159)</f>
        <v>0</v>
      </c>
      <c r="AK160" s="687"/>
      <c r="AL160" s="575">
        <f t="shared" si="69"/>
        <v>0</v>
      </c>
      <c r="AM160" s="574"/>
      <c r="AN160" s="575">
        <f t="shared" si="65"/>
        <v>0</v>
      </c>
      <c r="AO160" s="576"/>
      <c r="AP160" s="28"/>
      <c r="AQ160" s="28"/>
      <c r="AR160" s="28"/>
      <c r="AS160" s="28"/>
      <c r="AT160" s="28"/>
    </row>
    <row r="161" spans="1:46" s="10" customFormat="1" ht="18" customHeight="1">
      <c r="A161" s="5"/>
      <c r="B161" s="86"/>
      <c r="C161" s="98" t="s">
        <v>249</v>
      </c>
      <c r="D161" s="151" t="s">
        <v>217</v>
      </c>
      <c r="E161" s="151" t="s">
        <v>218</v>
      </c>
      <c r="F161" s="152" t="s">
        <v>219</v>
      </c>
      <c r="G161" s="245" t="s">
        <v>220</v>
      </c>
      <c r="H161" s="30">
        <v>0</v>
      </c>
      <c r="I161" s="90"/>
      <c r="J161" s="31">
        <v>0</v>
      </c>
      <c r="K161" s="90"/>
      <c r="L161" s="31">
        <v>700000</v>
      </c>
      <c r="M161" s="661"/>
      <c r="N161" s="89">
        <f t="shared" si="75"/>
        <v>700000</v>
      </c>
      <c r="O161" s="34"/>
      <c r="P161" s="31">
        <v>0</v>
      </c>
      <c r="Q161" s="90"/>
      <c r="R161" s="31">
        <v>0</v>
      </c>
      <c r="S161" s="90"/>
      <c r="T161" s="31"/>
      <c r="U161" s="661"/>
      <c r="V161" s="101">
        <f t="shared" si="67"/>
        <v>0</v>
      </c>
      <c r="W161" s="34"/>
      <c r="X161" s="31"/>
      <c r="Y161" s="90"/>
      <c r="Z161" s="31"/>
      <c r="AA161" s="90"/>
      <c r="AB161" s="31"/>
      <c r="AC161" s="661"/>
      <c r="AD161" s="89">
        <f t="shared" si="68"/>
        <v>0</v>
      </c>
      <c r="AE161" s="34"/>
      <c r="AF161" s="31"/>
      <c r="AG161" s="90"/>
      <c r="AH161" s="31"/>
      <c r="AI161" s="90"/>
      <c r="AJ161" s="31"/>
      <c r="AK161" s="661"/>
      <c r="AL161" s="101">
        <f t="shared" si="69"/>
        <v>0</v>
      </c>
      <c r="AM161" s="34"/>
      <c r="AN161" s="585">
        <f t="shared" ref="AN161:AN189" si="76">SUM(N161+V161+AD161+AL161)</f>
        <v>700000</v>
      </c>
      <c r="AO161" s="40"/>
      <c r="AP161" s="28"/>
      <c r="AQ161" s="28"/>
      <c r="AR161" s="28"/>
      <c r="AS161" s="28"/>
      <c r="AT161" s="28"/>
    </row>
    <row r="162" spans="1:46" s="10" customFormat="1" ht="18" customHeight="1">
      <c r="A162" s="5"/>
      <c r="B162" s="86"/>
      <c r="C162" s="98" t="s">
        <v>249</v>
      </c>
      <c r="D162" s="1086" t="s">
        <v>515</v>
      </c>
      <c r="E162" s="1087"/>
      <c r="F162" s="1087"/>
      <c r="G162" s="1088"/>
      <c r="H162" s="577">
        <f>SUM(H161)</f>
        <v>0</v>
      </c>
      <c r="I162" s="578"/>
      <c r="J162" s="579">
        <f>SUM(J161)</f>
        <v>0</v>
      </c>
      <c r="K162" s="578"/>
      <c r="L162" s="579">
        <f>SUM(L161)</f>
        <v>700000</v>
      </c>
      <c r="M162" s="688"/>
      <c r="N162" s="580">
        <f t="shared" si="75"/>
        <v>700000</v>
      </c>
      <c r="O162" s="581"/>
      <c r="P162" s="579">
        <f>SUM(P161)</f>
        <v>0</v>
      </c>
      <c r="Q162" s="578"/>
      <c r="R162" s="579">
        <f>SUM(R161)</f>
        <v>0</v>
      </c>
      <c r="S162" s="578"/>
      <c r="T162" s="579">
        <f>SUM(T161)</f>
        <v>0</v>
      </c>
      <c r="U162" s="688"/>
      <c r="V162" s="582">
        <f t="shared" si="67"/>
        <v>0</v>
      </c>
      <c r="W162" s="581"/>
      <c r="X162" s="579">
        <f>SUM(X161)</f>
        <v>0</v>
      </c>
      <c r="Y162" s="578"/>
      <c r="Z162" s="579">
        <f>SUM(Z161)</f>
        <v>0</v>
      </c>
      <c r="AA162" s="578"/>
      <c r="AB162" s="579">
        <f>SUM(AB161)</f>
        <v>0</v>
      </c>
      <c r="AC162" s="688"/>
      <c r="AD162" s="580">
        <f t="shared" si="68"/>
        <v>0</v>
      </c>
      <c r="AE162" s="581"/>
      <c r="AF162" s="579">
        <f>SUM(AF161)</f>
        <v>0</v>
      </c>
      <c r="AG162" s="578"/>
      <c r="AH162" s="579">
        <f>SUM(AH161)</f>
        <v>0</v>
      </c>
      <c r="AI162" s="578"/>
      <c r="AJ162" s="579">
        <f>SUM(AJ161)</f>
        <v>0</v>
      </c>
      <c r="AK162" s="688"/>
      <c r="AL162" s="582">
        <f t="shared" si="69"/>
        <v>0</v>
      </c>
      <c r="AM162" s="581"/>
      <c r="AN162" s="582">
        <f t="shared" si="76"/>
        <v>700000</v>
      </c>
      <c r="AO162" s="583"/>
      <c r="AP162" s="28"/>
      <c r="AQ162" s="28"/>
      <c r="AR162" s="28"/>
      <c r="AS162" s="28"/>
      <c r="AT162" s="28"/>
    </row>
    <row r="163" spans="1:46" s="10" customFormat="1" ht="18" customHeight="1">
      <c r="A163" s="5"/>
      <c r="B163" s="86"/>
      <c r="C163" s="98" t="s">
        <v>249</v>
      </c>
      <c r="D163" s="1365" t="s">
        <v>227</v>
      </c>
      <c r="E163" s="1365" t="s">
        <v>227</v>
      </c>
      <c r="F163" s="647" t="s">
        <v>720</v>
      </c>
      <c r="G163" s="755" t="s">
        <v>578</v>
      </c>
      <c r="H163" s="756">
        <v>13999.999999999998</v>
      </c>
      <c r="I163" s="757"/>
      <c r="J163" s="758">
        <v>198509.09090909088</v>
      </c>
      <c r="K163" s="757"/>
      <c r="L163" s="784">
        <f>128909+109000</f>
        <v>237909</v>
      </c>
      <c r="M163" s="759"/>
      <c r="N163" s="760">
        <f t="shared" ref="N163:N171" si="77">SUM(H163,J163,L163)</f>
        <v>450418.09090909088</v>
      </c>
      <c r="O163" s="761"/>
      <c r="P163" s="758">
        <v>126455</v>
      </c>
      <c r="Q163" s="757"/>
      <c r="R163" s="758">
        <v>49785</v>
      </c>
      <c r="S163" s="757"/>
      <c r="T163" s="758"/>
      <c r="U163" s="759"/>
      <c r="V163" s="762">
        <f t="shared" ref="V163:V171" si="78">SUM(P163,R163,T163)</f>
        <v>176240</v>
      </c>
      <c r="W163" s="761"/>
      <c r="X163" s="758"/>
      <c r="Y163" s="757"/>
      <c r="Z163" s="758"/>
      <c r="AA163" s="757"/>
      <c r="AB163" s="758"/>
      <c r="AC163" s="759"/>
      <c r="AD163" s="760">
        <f t="shared" ref="AD163:AD171" si="79">SUM(X163,Z163,AB163)</f>
        <v>0</v>
      </c>
      <c r="AE163" s="761"/>
      <c r="AF163" s="758"/>
      <c r="AG163" s="757"/>
      <c r="AH163" s="758"/>
      <c r="AI163" s="757"/>
      <c r="AJ163" s="758"/>
      <c r="AK163" s="759"/>
      <c r="AL163" s="762">
        <f t="shared" ref="AL163:AL172" si="80">SUM(AF163,AH163,AJ163)</f>
        <v>0</v>
      </c>
      <c r="AM163" s="761"/>
      <c r="AN163" s="763">
        <f t="shared" si="76"/>
        <v>626658.09090909082</v>
      </c>
      <c r="AO163" s="764"/>
      <c r="AP163" s="146"/>
      <c r="AQ163" s="28"/>
      <c r="AR163" s="28"/>
      <c r="AS163" s="28"/>
      <c r="AT163" s="28"/>
    </row>
    <row r="164" spans="1:46" s="10" customFormat="1" ht="18" customHeight="1">
      <c r="A164" s="5"/>
      <c r="B164" s="86"/>
      <c r="C164" s="98" t="s">
        <v>249</v>
      </c>
      <c r="D164" s="1365" t="s">
        <v>227</v>
      </c>
      <c r="E164" s="1365" t="s">
        <v>227</v>
      </c>
      <c r="F164" s="647" t="s">
        <v>719</v>
      </c>
      <c r="G164" s="755" t="s">
        <v>579</v>
      </c>
      <c r="H164" s="756">
        <v>178172</v>
      </c>
      <c r="I164" s="757"/>
      <c r="J164" s="758">
        <v>120000</v>
      </c>
      <c r="K164" s="757"/>
      <c r="L164" s="758">
        <v>140000</v>
      </c>
      <c r="M164" s="759"/>
      <c r="N164" s="760">
        <f t="shared" si="77"/>
        <v>438172</v>
      </c>
      <c r="O164" s="761"/>
      <c r="P164" s="758">
        <v>170000</v>
      </c>
      <c r="Q164" s="757"/>
      <c r="R164" s="758">
        <v>170000</v>
      </c>
      <c r="S164" s="757"/>
      <c r="T164" s="758"/>
      <c r="U164" s="759"/>
      <c r="V164" s="762">
        <f t="shared" si="78"/>
        <v>340000</v>
      </c>
      <c r="W164" s="761"/>
      <c r="X164" s="758"/>
      <c r="Y164" s="757"/>
      <c r="Z164" s="758"/>
      <c r="AA164" s="757"/>
      <c r="AB164" s="758"/>
      <c r="AC164" s="759"/>
      <c r="AD164" s="760">
        <f t="shared" si="79"/>
        <v>0</v>
      </c>
      <c r="AE164" s="761"/>
      <c r="AF164" s="758"/>
      <c r="AG164" s="757"/>
      <c r="AH164" s="758"/>
      <c r="AI164" s="757"/>
      <c r="AJ164" s="758"/>
      <c r="AK164" s="759"/>
      <c r="AL164" s="762">
        <f t="shared" si="80"/>
        <v>0</v>
      </c>
      <c r="AM164" s="761"/>
      <c r="AN164" s="763">
        <f t="shared" si="76"/>
        <v>778172</v>
      </c>
      <c r="AO164" s="764"/>
      <c r="AP164" s="146"/>
      <c r="AQ164" s="28"/>
      <c r="AR164" s="28"/>
      <c r="AS164" s="28"/>
      <c r="AT164" s="28"/>
    </row>
    <row r="165" spans="1:46" s="10" customFormat="1" ht="18" customHeight="1">
      <c r="A165" s="5"/>
      <c r="B165" s="86"/>
      <c r="C165" s="98" t="s">
        <v>249</v>
      </c>
      <c r="D165" s="1365" t="s">
        <v>227</v>
      </c>
      <c r="E165" s="1365" t="s">
        <v>227</v>
      </c>
      <c r="F165" s="647" t="s">
        <v>719</v>
      </c>
      <c r="G165" s="755" t="s">
        <v>580</v>
      </c>
      <c r="H165" s="756">
        <v>232990.90909090906</v>
      </c>
      <c r="I165" s="757"/>
      <c r="J165" s="758">
        <v>51999.999999999993</v>
      </c>
      <c r="K165" s="757"/>
      <c r="L165" s="758">
        <v>68327.272727272721</v>
      </c>
      <c r="M165" s="759"/>
      <c r="N165" s="760">
        <f t="shared" si="77"/>
        <v>353318.18181818177</v>
      </c>
      <c r="O165" s="761"/>
      <c r="P165" s="758">
        <v>62700</v>
      </c>
      <c r="Q165" s="757"/>
      <c r="R165" s="758">
        <v>527164</v>
      </c>
      <c r="S165" s="757"/>
      <c r="T165" s="758"/>
      <c r="U165" s="759"/>
      <c r="V165" s="762">
        <f t="shared" si="78"/>
        <v>589864</v>
      </c>
      <c r="W165" s="761"/>
      <c r="X165" s="758"/>
      <c r="Y165" s="757"/>
      <c r="Z165" s="758"/>
      <c r="AA165" s="757"/>
      <c r="AB165" s="758"/>
      <c r="AC165" s="759"/>
      <c r="AD165" s="760">
        <f t="shared" si="79"/>
        <v>0</v>
      </c>
      <c r="AE165" s="761"/>
      <c r="AF165" s="758"/>
      <c r="AG165" s="757"/>
      <c r="AH165" s="758"/>
      <c r="AI165" s="757"/>
      <c r="AJ165" s="758"/>
      <c r="AK165" s="759"/>
      <c r="AL165" s="762">
        <f t="shared" si="80"/>
        <v>0</v>
      </c>
      <c r="AM165" s="761"/>
      <c r="AN165" s="763">
        <f t="shared" si="76"/>
        <v>943182.18181818177</v>
      </c>
      <c r="AO165" s="764"/>
      <c r="AP165" s="146"/>
      <c r="AQ165" s="28"/>
      <c r="AR165" s="28"/>
      <c r="AS165" s="28"/>
      <c r="AT165" s="28"/>
    </row>
    <row r="166" spans="1:46" s="10" customFormat="1" ht="18" customHeight="1">
      <c r="A166" s="5"/>
      <c r="B166" s="86"/>
      <c r="C166" s="98" t="s">
        <v>249</v>
      </c>
      <c r="D166" s="1365" t="s">
        <v>227</v>
      </c>
      <c r="E166" s="1365" t="s">
        <v>227</v>
      </c>
      <c r="F166" s="647" t="s">
        <v>719</v>
      </c>
      <c r="G166" s="755" t="s">
        <v>581</v>
      </c>
      <c r="H166" s="756">
        <v>0</v>
      </c>
      <c r="I166" s="757"/>
      <c r="J166" s="758">
        <v>0</v>
      </c>
      <c r="K166" s="757"/>
      <c r="L166" s="758">
        <v>0</v>
      </c>
      <c r="M166" s="759"/>
      <c r="N166" s="760">
        <f t="shared" si="77"/>
        <v>0</v>
      </c>
      <c r="O166" s="761"/>
      <c r="P166" s="758">
        <v>659800</v>
      </c>
      <c r="Q166" s="757"/>
      <c r="R166" s="758">
        <v>0</v>
      </c>
      <c r="S166" s="757"/>
      <c r="T166" s="758"/>
      <c r="U166" s="759"/>
      <c r="V166" s="762">
        <f t="shared" si="78"/>
        <v>659800</v>
      </c>
      <c r="W166" s="761"/>
      <c r="X166" s="758"/>
      <c r="Y166" s="757"/>
      <c r="Z166" s="758"/>
      <c r="AA166" s="757"/>
      <c r="AB166" s="758"/>
      <c r="AC166" s="759"/>
      <c r="AD166" s="760">
        <f t="shared" si="79"/>
        <v>0</v>
      </c>
      <c r="AE166" s="761"/>
      <c r="AF166" s="758"/>
      <c r="AG166" s="757"/>
      <c r="AH166" s="758"/>
      <c r="AI166" s="757"/>
      <c r="AJ166" s="758"/>
      <c r="AK166" s="759"/>
      <c r="AL166" s="762">
        <f t="shared" si="80"/>
        <v>0</v>
      </c>
      <c r="AM166" s="761"/>
      <c r="AN166" s="763">
        <f t="shared" si="76"/>
        <v>659800</v>
      </c>
      <c r="AO166" s="764"/>
      <c r="AP166" s="146"/>
      <c r="AQ166" s="28"/>
      <c r="AR166" s="28"/>
      <c r="AS166" s="28"/>
      <c r="AT166" s="28"/>
    </row>
    <row r="167" spans="1:46" s="10" customFormat="1" ht="18" customHeight="1">
      <c r="A167" s="5"/>
      <c r="B167" s="86"/>
      <c r="C167" s="98" t="s">
        <v>249</v>
      </c>
      <c r="D167" s="1365" t="s">
        <v>227</v>
      </c>
      <c r="E167" s="1365" t="s">
        <v>227</v>
      </c>
      <c r="F167" s="647" t="s">
        <v>719</v>
      </c>
      <c r="G167" s="755" t="s">
        <v>582</v>
      </c>
      <c r="H167" s="756">
        <v>0</v>
      </c>
      <c r="I167" s="757"/>
      <c r="J167" s="758">
        <v>0</v>
      </c>
      <c r="K167" s="757"/>
      <c r="L167" s="758">
        <v>0</v>
      </c>
      <c r="M167" s="759"/>
      <c r="N167" s="760">
        <f t="shared" si="77"/>
        <v>0</v>
      </c>
      <c r="O167" s="761"/>
      <c r="P167" s="758">
        <v>0</v>
      </c>
      <c r="Q167" s="757"/>
      <c r="R167" s="758">
        <v>0</v>
      </c>
      <c r="S167" s="757"/>
      <c r="T167" s="758"/>
      <c r="U167" s="759"/>
      <c r="V167" s="762">
        <f t="shared" si="78"/>
        <v>0</v>
      </c>
      <c r="W167" s="761"/>
      <c r="X167" s="758"/>
      <c r="Y167" s="757"/>
      <c r="Z167" s="758"/>
      <c r="AA167" s="757"/>
      <c r="AB167" s="758"/>
      <c r="AC167" s="759"/>
      <c r="AD167" s="760">
        <f t="shared" si="79"/>
        <v>0</v>
      </c>
      <c r="AE167" s="761"/>
      <c r="AF167" s="758"/>
      <c r="AG167" s="757"/>
      <c r="AH167" s="758"/>
      <c r="AI167" s="757"/>
      <c r="AJ167" s="758"/>
      <c r="AK167" s="759"/>
      <c r="AL167" s="762">
        <f t="shared" si="80"/>
        <v>0</v>
      </c>
      <c r="AM167" s="761"/>
      <c r="AN167" s="763">
        <f t="shared" si="76"/>
        <v>0</v>
      </c>
      <c r="AO167" s="764"/>
      <c r="AP167" s="146"/>
      <c r="AQ167" s="28"/>
      <c r="AR167" s="28"/>
      <c r="AS167" s="28"/>
      <c r="AT167" s="28"/>
    </row>
    <row r="168" spans="1:46" s="10" customFormat="1" ht="18" customHeight="1">
      <c r="A168" s="5"/>
      <c r="B168" s="86"/>
      <c r="C168" s="98" t="s">
        <v>249</v>
      </c>
      <c r="D168" s="1365" t="s">
        <v>227</v>
      </c>
      <c r="E168" s="1365" t="s">
        <v>227</v>
      </c>
      <c r="F168" s="647" t="s">
        <v>719</v>
      </c>
      <c r="G168" s="755" t="s">
        <v>583</v>
      </c>
      <c r="H168" s="756">
        <v>0</v>
      </c>
      <c r="I168" s="757"/>
      <c r="J168" s="758">
        <v>5500</v>
      </c>
      <c r="K168" s="757"/>
      <c r="L168" s="758">
        <v>8400</v>
      </c>
      <c r="M168" s="759"/>
      <c r="N168" s="760">
        <f t="shared" si="77"/>
        <v>13900</v>
      </c>
      <c r="O168" s="761"/>
      <c r="P168" s="758">
        <v>0</v>
      </c>
      <c r="Q168" s="757"/>
      <c r="R168" s="758">
        <v>0</v>
      </c>
      <c r="S168" s="757"/>
      <c r="T168" s="758"/>
      <c r="U168" s="759"/>
      <c r="V168" s="762">
        <f t="shared" si="78"/>
        <v>0</v>
      </c>
      <c r="W168" s="761"/>
      <c r="X168" s="758"/>
      <c r="Y168" s="757"/>
      <c r="Z168" s="758"/>
      <c r="AA168" s="757"/>
      <c r="AB168" s="758"/>
      <c r="AC168" s="759"/>
      <c r="AD168" s="760">
        <f t="shared" si="79"/>
        <v>0</v>
      </c>
      <c r="AE168" s="761"/>
      <c r="AF168" s="758"/>
      <c r="AG168" s="757"/>
      <c r="AH168" s="758"/>
      <c r="AI168" s="757"/>
      <c r="AJ168" s="758"/>
      <c r="AK168" s="759"/>
      <c r="AL168" s="762">
        <f t="shared" si="80"/>
        <v>0</v>
      </c>
      <c r="AM168" s="761"/>
      <c r="AN168" s="763">
        <f t="shared" si="76"/>
        <v>13900</v>
      </c>
      <c r="AO168" s="764"/>
      <c r="AP168" s="146"/>
      <c r="AQ168" s="28"/>
      <c r="AR168" s="28"/>
      <c r="AS168" s="28"/>
      <c r="AT168" s="28"/>
    </row>
    <row r="169" spans="1:46" s="10" customFormat="1" ht="18" customHeight="1">
      <c r="A169" s="5"/>
      <c r="B169" s="86"/>
      <c r="C169" s="98" t="s">
        <v>249</v>
      </c>
      <c r="D169" s="1365" t="s">
        <v>227</v>
      </c>
      <c r="E169" s="1365" t="s">
        <v>227</v>
      </c>
      <c r="F169" s="647" t="s">
        <v>719</v>
      </c>
      <c r="G169" s="755" t="s">
        <v>584</v>
      </c>
      <c r="H169" s="756">
        <v>0</v>
      </c>
      <c r="I169" s="757"/>
      <c r="J169" s="758">
        <v>14500</v>
      </c>
      <c r="K169" s="757"/>
      <c r="L169" s="758">
        <v>0</v>
      </c>
      <c r="M169" s="759"/>
      <c r="N169" s="760">
        <f t="shared" si="77"/>
        <v>14500</v>
      </c>
      <c r="O169" s="761"/>
      <c r="P169" s="758">
        <v>71070</v>
      </c>
      <c r="Q169" s="757"/>
      <c r="R169" s="758">
        <v>0</v>
      </c>
      <c r="S169" s="757"/>
      <c r="T169" s="758"/>
      <c r="U169" s="759"/>
      <c r="V169" s="762">
        <f t="shared" si="78"/>
        <v>71070</v>
      </c>
      <c r="W169" s="761"/>
      <c r="X169" s="758"/>
      <c r="Y169" s="757"/>
      <c r="Z169" s="758"/>
      <c r="AA169" s="757"/>
      <c r="AB169" s="758"/>
      <c r="AC169" s="759"/>
      <c r="AD169" s="760">
        <f t="shared" si="79"/>
        <v>0</v>
      </c>
      <c r="AE169" s="761"/>
      <c r="AF169" s="758"/>
      <c r="AG169" s="757"/>
      <c r="AH169" s="758"/>
      <c r="AI169" s="757"/>
      <c r="AJ169" s="758"/>
      <c r="AK169" s="759"/>
      <c r="AL169" s="762">
        <f t="shared" si="80"/>
        <v>0</v>
      </c>
      <c r="AM169" s="761"/>
      <c r="AN169" s="763">
        <f t="shared" si="76"/>
        <v>85570</v>
      </c>
      <c r="AO169" s="764"/>
      <c r="AP169" s="146"/>
      <c r="AQ169" s="28"/>
      <c r="AR169" s="28"/>
      <c r="AS169" s="28"/>
      <c r="AT169" s="28"/>
    </row>
    <row r="170" spans="1:46" s="10" customFormat="1" ht="18" customHeight="1">
      <c r="A170" s="5"/>
      <c r="B170" s="86"/>
      <c r="C170" s="98" t="s">
        <v>249</v>
      </c>
      <c r="D170" s="1365" t="s">
        <v>227</v>
      </c>
      <c r="E170" s="1365" t="s">
        <v>227</v>
      </c>
      <c r="F170" s="647" t="s">
        <v>719</v>
      </c>
      <c r="G170" s="776" t="s">
        <v>609</v>
      </c>
      <c r="H170" s="756">
        <v>0</v>
      </c>
      <c r="I170" s="757"/>
      <c r="J170" s="758">
        <v>0</v>
      </c>
      <c r="K170" s="757"/>
      <c r="L170" s="758">
        <v>0</v>
      </c>
      <c r="M170" s="759"/>
      <c r="N170" s="760">
        <f t="shared" si="77"/>
        <v>0</v>
      </c>
      <c r="O170" s="761"/>
      <c r="P170" s="758">
        <v>0</v>
      </c>
      <c r="Q170" s="757"/>
      <c r="R170" s="758">
        <v>0</v>
      </c>
      <c r="S170" s="757"/>
      <c r="T170" s="758"/>
      <c r="U170" s="759"/>
      <c r="V170" s="762">
        <f t="shared" si="78"/>
        <v>0</v>
      </c>
      <c r="W170" s="761"/>
      <c r="X170" s="758"/>
      <c r="Y170" s="757"/>
      <c r="Z170" s="758"/>
      <c r="AA170" s="757"/>
      <c r="AB170" s="758"/>
      <c r="AC170" s="759"/>
      <c r="AD170" s="760">
        <f t="shared" si="79"/>
        <v>0</v>
      </c>
      <c r="AE170" s="761"/>
      <c r="AF170" s="758"/>
      <c r="AG170" s="757"/>
      <c r="AH170" s="758"/>
      <c r="AI170" s="757"/>
      <c r="AJ170" s="758"/>
      <c r="AK170" s="759"/>
      <c r="AL170" s="762">
        <f t="shared" si="80"/>
        <v>0</v>
      </c>
      <c r="AM170" s="761"/>
      <c r="AN170" s="763">
        <f t="shared" si="76"/>
        <v>0</v>
      </c>
      <c r="AO170" s="764"/>
      <c r="AP170" s="146"/>
      <c r="AQ170" s="28"/>
      <c r="AR170" s="28"/>
      <c r="AS170" s="28"/>
      <c r="AT170" s="28"/>
    </row>
    <row r="171" spans="1:46" s="10" customFormat="1" ht="18" customHeight="1">
      <c r="A171" s="5"/>
      <c r="B171" s="86"/>
      <c r="C171" s="98" t="s">
        <v>249</v>
      </c>
      <c r="D171" s="1365" t="s">
        <v>227</v>
      </c>
      <c r="E171" s="1365" t="s">
        <v>227</v>
      </c>
      <c r="F171" s="647" t="s">
        <v>719</v>
      </c>
      <c r="G171" s="776" t="s">
        <v>697</v>
      </c>
      <c r="H171" s="756">
        <v>0</v>
      </c>
      <c r="I171" s="757"/>
      <c r="J171" s="758">
        <v>0</v>
      </c>
      <c r="K171" s="757"/>
      <c r="L171" s="758">
        <v>0</v>
      </c>
      <c r="M171" s="759"/>
      <c r="N171" s="760">
        <f t="shared" si="77"/>
        <v>0</v>
      </c>
      <c r="O171" s="761"/>
      <c r="P171" s="758">
        <v>72000</v>
      </c>
      <c r="Q171" s="757"/>
      <c r="R171" s="758">
        <v>0</v>
      </c>
      <c r="S171" s="757"/>
      <c r="T171" s="758"/>
      <c r="U171" s="759"/>
      <c r="V171" s="762">
        <f t="shared" si="78"/>
        <v>72000</v>
      </c>
      <c r="W171" s="761"/>
      <c r="X171" s="758"/>
      <c r="Y171" s="757"/>
      <c r="Z171" s="758"/>
      <c r="AA171" s="757"/>
      <c r="AB171" s="758"/>
      <c r="AC171" s="759"/>
      <c r="AD171" s="760">
        <f t="shared" si="79"/>
        <v>0</v>
      </c>
      <c r="AE171" s="761"/>
      <c r="AF171" s="758"/>
      <c r="AG171" s="757"/>
      <c r="AH171" s="758"/>
      <c r="AI171" s="757"/>
      <c r="AJ171" s="758"/>
      <c r="AK171" s="759"/>
      <c r="AL171" s="762">
        <f t="shared" si="80"/>
        <v>0</v>
      </c>
      <c r="AM171" s="761"/>
      <c r="AN171" s="763">
        <f t="shared" si="76"/>
        <v>72000</v>
      </c>
      <c r="AO171" s="764"/>
      <c r="AP171" s="146"/>
      <c r="AQ171" s="28"/>
      <c r="AR171" s="28"/>
      <c r="AS171" s="28"/>
      <c r="AT171" s="28"/>
    </row>
    <row r="172" spans="1:46" s="10" customFormat="1" ht="18" customHeight="1">
      <c r="A172" s="5"/>
      <c r="B172" s="86"/>
      <c r="C172" s="98" t="s">
        <v>249</v>
      </c>
      <c r="D172" s="1365" t="s">
        <v>227</v>
      </c>
      <c r="E172" s="1365" t="s">
        <v>227</v>
      </c>
      <c r="F172" s="648" t="s">
        <v>718</v>
      </c>
      <c r="G172" s="153" t="s">
        <v>721</v>
      </c>
      <c r="H172" s="645">
        <v>0</v>
      </c>
      <c r="I172" s="90"/>
      <c r="J172" s="31">
        <v>0</v>
      </c>
      <c r="K172" s="90"/>
      <c r="L172" s="31">
        <v>0</v>
      </c>
      <c r="M172" s="661"/>
      <c r="N172" s="89">
        <f>SUM(H172,J172,L172)</f>
        <v>0</v>
      </c>
      <c r="O172" s="34"/>
      <c r="P172" s="784">
        <v>0</v>
      </c>
      <c r="Q172" s="90"/>
      <c r="R172" s="31">
        <v>0</v>
      </c>
      <c r="S172" s="90"/>
      <c r="T172" s="31"/>
      <c r="U172" s="661"/>
      <c r="V172" s="89">
        <f>SUM(P172,R172,T172)</f>
        <v>0</v>
      </c>
      <c r="W172" s="34"/>
      <c r="X172" s="31"/>
      <c r="Y172" s="90"/>
      <c r="Z172" s="31"/>
      <c r="AA172" s="90"/>
      <c r="AB172" s="31"/>
      <c r="AC172" s="661"/>
      <c r="AD172" s="89">
        <f>SUM(X172,Z172,AB172)</f>
        <v>0</v>
      </c>
      <c r="AE172" s="34"/>
      <c r="AF172" s="31"/>
      <c r="AG172" s="90"/>
      <c r="AH172" s="31"/>
      <c r="AI172" s="90"/>
      <c r="AJ172" s="31"/>
      <c r="AK172" s="661"/>
      <c r="AL172" s="101">
        <f t="shared" si="80"/>
        <v>0</v>
      </c>
      <c r="AM172" s="34"/>
      <c r="AN172" s="586">
        <f t="shared" si="76"/>
        <v>0</v>
      </c>
      <c r="AO172" s="40"/>
      <c r="AP172" s="28"/>
      <c r="AQ172" s="28"/>
      <c r="AR172" s="28"/>
      <c r="AS172" s="28"/>
    </row>
    <row r="173" spans="1:46" s="10" customFormat="1" ht="18" customHeight="1" thickBot="1">
      <c r="A173" s="5"/>
      <c r="B173" s="86"/>
      <c r="C173" s="98"/>
      <c r="D173" s="1171" t="s">
        <v>513</v>
      </c>
      <c r="E173" s="1172"/>
      <c r="F173" s="1172"/>
      <c r="G173" s="1173"/>
      <c r="H173" s="649">
        <f>SUM(H163:H171,H172)</f>
        <v>425162.90909090906</v>
      </c>
      <c r="I173" s="650"/>
      <c r="J173" s="649">
        <f>SUM(J163:J171,J172)</f>
        <v>390509.09090909088</v>
      </c>
      <c r="K173" s="650"/>
      <c r="L173" s="649">
        <f>SUM(L163:L171,L172)</f>
        <v>454636.27272727271</v>
      </c>
      <c r="M173" s="690"/>
      <c r="N173" s="651">
        <f>SUM(H173,J173,L173)</f>
        <v>1270308.2727272727</v>
      </c>
      <c r="O173" s="652"/>
      <c r="P173" s="649">
        <f>SUM(P163:P171,P172)</f>
        <v>1162025</v>
      </c>
      <c r="Q173" s="650"/>
      <c r="R173" s="649">
        <f>SUM(R163:R171,R172)</f>
        <v>746949</v>
      </c>
      <c r="S173" s="650"/>
      <c r="T173" s="649">
        <f>SUM(T163:T171,T172)</f>
        <v>0</v>
      </c>
      <c r="U173" s="690"/>
      <c r="V173" s="651">
        <f>SUM(P173,R173,T173)</f>
        <v>1908974</v>
      </c>
      <c r="W173" s="652"/>
      <c r="X173" s="649">
        <f>SUM(X163:X171,X172)</f>
        <v>0</v>
      </c>
      <c r="Y173" s="650"/>
      <c r="Z173" s="649">
        <f>SUM(Z163:Z171,Z172)</f>
        <v>0</v>
      </c>
      <c r="AA173" s="650"/>
      <c r="AB173" s="649">
        <f>SUM(AB163:AB171,AB172)</f>
        <v>0</v>
      </c>
      <c r="AC173" s="690"/>
      <c r="AD173" s="651">
        <f>SUM(X173,Z173,AB173)</f>
        <v>0</v>
      </c>
      <c r="AE173" s="652"/>
      <c r="AF173" s="649">
        <f>SUM(AF163:AF171,AF172)</f>
        <v>0</v>
      </c>
      <c r="AG173" s="650"/>
      <c r="AH173" s="649">
        <f>SUM(AH163:AH171,AH172)</f>
        <v>0</v>
      </c>
      <c r="AI173" s="650"/>
      <c r="AJ173" s="649">
        <f>SUM(AJ163:AJ171,AJ172)</f>
        <v>0</v>
      </c>
      <c r="AK173" s="690"/>
      <c r="AL173" s="653">
        <f>SUM(AF173,AH173,AJ173)</f>
        <v>0</v>
      </c>
      <c r="AM173" s="652"/>
      <c r="AN173" s="653">
        <f>SUM(N173+V173+AD173+AL173)</f>
        <v>3179282.2727272725</v>
      </c>
      <c r="AO173" s="654"/>
      <c r="AP173" s="28"/>
      <c r="AQ173" s="28"/>
      <c r="AR173" s="28"/>
      <c r="AS173" s="28"/>
    </row>
    <row r="174" spans="1:46" s="10" customFormat="1" ht="20" customHeight="1" thickBot="1">
      <c r="B174" s="1165" t="s">
        <v>245</v>
      </c>
      <c r="C174" s="1166"/>
      <c r="D174" s="1166"/>
      <c r="E174" s="1166"/>
      <c r="F174" s="1166"/>
      <c r="G174" s="1167"/>
      <c r="H174" s="176">
        <f>SUM(H83,H86,H90,H92,H99,H103,H108,H119,H122,H124,H126,H146,H155,H158,H160,H162,H173)</f>
        <v>38582247.909090906</v>
      </c>
      <c r="I174" s="180">
        <f t="shared" ref="I174:I175" si="81">H174/$H$27</f>
        <v>0.45482404939137827</v>
      </c>
      <c r="J174" s="176">
        <f>SUM(J83,J86,J90,J92,J99,J103,J108,J119,J122,J124,J126,J146,J155,J158,J160,J162,J173)</f>
        <v>37885751.090909094</v>
      </c>
      <c r="K174" s="180">
        <f t="shared" ref="K174:K175" si="82">J174/$J$27</f>
        <v>0.5136171794195149</v>
      </c>
      <c r="L174" s="176">
        <f>SUM(L83,L86,L90,L92,L99,L103,L108,L119,L122,L124,L126,L146,L155,L158,L160,L162,L173)</f>
        <v>44062283.272727273</v>
      </c>
      <c r="M174" s="180">
        <f t="shared" ref="M174:M175" si="83">L174/L$27</f>
        <v>0.43342802716478357</v>
      </c>
      <c r="N174" s="179">
        <f t="shared" ref="N174:N189" si="84">SUM(H174,J174,L174)</f>
        <v>120530282.27272728</v>
      </c>
      <c r="O174" s="180">
        <f>N174/$N$27</f>
        <v>0.46312992270345987</v>
      </c>
      <c r="P174" s="176">
        <f>SUM(P83,P86,P90,P92,P99,P103,P108,P119,P122,P124,P126,P146,P155,P158,P160,P162,P173)</f>
        <v>43439608</v>
      </c>
      <c r="Q174" s="180">
        <f>P174/$P$27</f>
        <v>0.42554770070309655</v>
      </c>
      <c r="R174" s="176">
        <f>SUM(R83,R86,R90,R92,R99,R103,R108,R119,R122,R124,R126,R146,R155,R158,R160,R162,R173)</f>
        <v>47777743</v>
      </c>
      <c r="S174" s="180">
        <f>R174/$R$27</f>
        <v>0.51865653794844391</v>
      </c>
      <c r="T174" s="176">
        <f>SUM(T83,T86,T90,T92,T99,T103,T108,T119,T122,T124,T126,T146,T155,T158,T160,T162,T173)</f>
        <v>0</v>
      </c>
      <c r="U174" s="181" t="e">
        <f>T174/$T$27</f>
        <v>#DIV/0!</v>
      </c>
      <c r="V174" s="182">
        <f t="shared" ref="V174:V189" si="85">SUM(P174,R174,T174)</f>
        <v>91217351</v>
      </c>
      <c r="W174" s="181">
        <f>V174/$V$27</f>
        <v>0.46971419239547407</v>
      </c>
      <c r="X174" s="176">
        <f>SUM(X83,X86,X90,X92,X99,X103,X108,X119,X122,X124,X126,X146,X155,X158,X160,X162,X173)</f>
        <v>0</v>
      </c>
      <c r="Y174" s="181" t="e">
        <f>X174/X$27</f>
        <v>#DIV/0!</v>
      </c>
      <c r="Z174" s="176">
        <f>SUM(Z83,Z86,Z90,Z92,Z99,Z103,Z108,Z119,Z122,Z124,Z126,Z146,Z155,Z158,Z160,Z162,Z173)</f>
        <v>0</v>
      </c>
      <c r="AA174" s="181" t="e">
        <f>Z174/Z$27</f>
        <v>#DIV/0!</v>
      </c>
      <c r="AB174" s="176">
        <f>SUM(AB83,AB86,AB90,AB92,AB99,AB103,AB108,AB119,AB122,AB124,AB126,AB146,AB155,AB158,AB160,AB162,AB173)</f>
        <v>0</v>
      </c>
      <c r="AC174" s="181" t="e">
        <f>AB174/AB$27</f>
        <v>#DIV/0!</v>
      </c>
      <c r="AD174" s="177">
        <f t="shared" ref="AD174:AD189" si="86">SUM(X174,Z174,AB174)</f>
        <v>0</v>
      </c>
      <c r="AE174" s="181">
        <f>AD174/$V$27</f>
        <v>0</v>
      </c>
      <c r="AF174" s="176">
        <f>SUM(AF83,AF86,AF90,AF92,AF99,AF103,AF108,AF119,AF122,AF124,AF126,AF146,AF155,AF158,AF160,AF162,AF173)</f>
        <v>0</v>
      </c>
      <c r="AG174" s="181" t="e">
        <f>AF174/AF$27</f>
        <v>#DIV/0!</v>
      </c>
      <c r="AH174" s="176">
        <f>SUM(AH83,AH86,AH90,AH92,AH99,AH103,AH108,AH119,AH122,AH124,AH126,AH146,AH155,AH158,AH160,AH162,AH173)</f>
        <v>0</v>
      </c>
      <c r="AI174" s="181" t="e">
        <f>AH174/AH$27</f>
        <v>#DIV/0!</v>
      </c>
      <c r="AJ174" s="176">
        <f>SUM(AJ83,AJ86,AJ90,AJ92,AJ99,AJ103,AJ108,AJ119,AJ122,AJ124,AJ126,AJ146,AJ155,AJ158,AJ160,AJ162,AJ173)</f>
        <v>0</v>
      </c>
      <c r="AK174" s="181" t="e">
        <f>AJ174/AJ$27</f>
        <v>#DIV/0!</v>
      </c>
      <c r="AL174" s="178">
        <f>SUM(AF174,AH174,AJ174)</f>
        <v>0</v>
      </c>
      <c r="AM174" s="181">
        <f>AL174/$V$27</f>
        <v>0</v>
      </c>
      <c r="AN174" s="179">
        <f>SUM(N174+V174+AD174+AL174)</f>
        <v>211747633.27272728</v>
      </c>
      <c r="AO174" s="183">
        <f>AN174/$AN$27</f>
        <v>0.46594354710187152</v>
      </c>
      <c r="AP174" s="4" t="s">
        <v>246</v>
      </c>
      <c r="AQ174" s="28"/>
      <c r="AR174" s="28"/>
      <c r="AS174" s="28"/>
    </row>
    <row r="175" spans="1:46" s="85" customFormat="1" ht="20" customHeight="1" thickTop="1" thickBot="1">
      <c r="B175" s="1168" t="s">
        <v>247</v>
      </c>
      <c r="C175" s="1169"/>
      <c r="D175" s="1170"/>
      <c r="E175" s="1048" t="s">
        <v>519</v>
      </c>
      <c r="F175" s="1048"/>
      <c r="G175" s="1049"/>
      <c r="H175" s="127">
        <f>H80-H174</f>
        <v>-11373553.460166179</v>
      </c>
      <c r="I175" s="184">
        <f t="shared" si="81"/>
        <v>-0.13407631543166845</v>
      </c>
      <c r="J175" s="127">
        <f>J80-J174</f>
        <v>-16951761.440909088</v>
      </c>
      <c r="K175" s="184">
        <f t="shared" si="82"/>
        <v>-0.22981505306783914</v>
      </c>
      <c r="L175" s="127">
        <f>L80-L174</f>
        <v>-1229769.2727272734</v>
      </c>
      <c r="M175" s="184">
        <f t="shared" si="83"/>
        <v>-1.2096887182330106E-2</v>
      </c>
      <c r="N175" s="130">
        <f t="shared" si="84"/>
        <v>-29555084.17380254</v>
      </c>
      <c r="O175" s="184">
        <f>N175/$N$27</f>
        <v>-0.11356352603518798</v>
      </c>
      <c r="P175" s="127">
        <f>P80-P174</f>
        <v>-1678480.1666666642</v>
      </c>
      <c r="Q175" s="753">
        <f>P175/$P$27</f>
        <v>-1.6442905645022148E-2</v>
      </c>
      <c r="R175" s="127">
        <f>R80-R174</f>
        <v>-11089232</v>
      </c>
      <c r="S175" s="184">
        <f>R175/$R$27</f>
        <v>-0.12038037622721312</v>
      </c>
      <c r="T175" s="127">
        <f>T80-T174</f>
        <v>0</v>
      </c>
      <c r="U175" s="185" t="e">
        <f>T175/$T$27</f>
        <v>#DIV/0!</v>
      </c>
      <c r="V175" s="186">
        <f t="shared" si="85"/>
        <v>-12767712.166666664</v>
      </c>
      <c r="W175" s="184">
        <f>V175/$V$27</f>
        <v>-6.5745996165835818E-2</v>
      </c>
      <c r="X175" s="127">
        <f>X80-X174</f>
        <v>0</v>
      </c>
      <c r="Y175" s="184" t="e">
        <f>X175/X$27</f>
        <v>#DIV/0!</v>
      </c>
      <c r="Z175" s="127">
        <f>Z80-Z174</f>
        <v>0</v>
      </c>
      <c r="AA175" s="184" t="e">
        <f>Z175/Z$27</f>
        <v>#DIV/0!</v>
      </c>
      <c r="AB175" s="127">
        <f>AB80-AB174</f>
        <v>0</v>
      </c>
      <c r="AC175" s="184" t="e">
        <f>AB175/AB$27</f>
        <v>#DIV/0!</v>
      </c>
      <c r="AD175" s="128">
        <f t="shared" si="86"/>
        <v>0</v>
      </c>
      <c r="AE175" s="184">
        <f>AD175/$V$27</f>
        <v>0</v>
      </c>
      <c r="AF175" s="127">
        <f>AF80-AF174</f>
        <v>0</v>
      </c>
      <c r="AG175" s="184" t="e">
        <f>AF175/AF$27</f>
        <v>#DIV/0!</v>
      </c>
      <c r="AH175" s="127">
        <f>AH80-AH174</f>
        <v>0</v>
      </c>
      <c r="AI175" s="184" t="e">
        <f>AH175/AH$27</f>
        <v>#DIV/0!</v>
      </c>
      <c r="AJ175" s="127">
        <f>AJ80-AJ174</f>
        <v>0</v>
      </c>
      <c r="AK175" s="184" t="e">
        <f>AJ175/AJ$27</f>
        <v>#DIV/0!</v>
      </c>
      <c r="AL175" s="129">
        <f t="shared" ref="AL175:AL189" si="87">SUM(AF175,AH175,AJ175)</f>
        <v>0</v>
      </c>
      <c r="AM175" s="184">
        <f>AL175/$V$27</f>
        <v>0</v>
      </c>
      <c r="AN175" s="130">
        <f t="shared" si="76"/>
        <v>-42322796.340469204</v>
      </c>
      <c r="AO175" s="188">
        <f>AN175/$AN$27</f>
        <v>-9.3129890263043774E-2</v>
      </c>
      <c r="AP175" s="83" t="s">
        <v>248</v>
      </c>
      <c r="AQ175" s="84"/>
      <c r="AR175" s="84"/>
      <c r="AS175" s="84"/>
      <c r="AT175" s="84"/>
    </row>
    <row r="176" spans="1:46" s="10" customFormat="1" ht="18" customHeight="1" thickTop="1">
      <c r="A176" s="5"/>
      <c r="B176" s="86"/>
      <c r="C176" s="189" t="s">
        <v>249</v>
      </c>
      <c r="D176" s="151" t="s">
        <v>261</v>
      </c>
      <c r="E176" s="151" t="s">
        <v>262</v>
      </c>
      <c r="F176" s="152" t="s">
        <v>263</v>
      </c>
      <c r="G176" s="133" t="s">
        <v>264</v>
      </c>
      <c r="H176" s="190">
        <f>1751117+411747</f>
        <v>2162864</v>
      </c>
      <c r="I176" s="137"/>
      <c r="J176" s="190">
        <f>1751117+411747</f>
        <v>2162864</v>
      </c>
      <c r="K176" s="137"/>
      <c r="L176" s="190">
        <v>1953555</v>
      </c>
      <c r="M176" s="137"/>
      <c r="N176" s="89">
        <f>SUM(H176,J176,L176)</f>
        <v>6279283</v>
      </c>
      <c r="O176" s="136"/>
      <c r="P176" s="190">
        <v>2346398</v>
      </c>
      <c r="Q176" s="137"/>
      <c r="R176" s="190">
        <f>1845041+437917</f>
        <v>2282958</v>
      </c>
      <c r="S176" s="137"/>
      <c r="T176" s="190"/>
      <c r="U176" s="137"/>
      <c r="V176" s="89">
        <f t="shared" ref="V176:V186" si="88">SUM(P176,R176,T176)</f>
        <v>4629356</v>
      </c>
      <c r="W176" s="138"/>
      <c r="X176" s="190"/>
      <c r="Y176" s="137"/>
      <c r="Z176" s="190"/>
      <c r="AA176" s="137"/>
      <c r="AB176" s="190"/>
      <c r="AC176" s="137"/>
      <c r="AD176" s="91">
        <f t="shared" ref="AD176:AD186" si="89">SUM(X176,Z176,AB176)</f>
        <v>0</v>
      </c>
      <c r="AE176" s="138"/>
      <c r="AF176" s="190"/>
      <c r="AG176" s="137"/>
      <c r="AH176" s="190"/>
      <c r="AI176" s="137"/>
      <c r="AJ176" s="190"/>
      <c r="AK176" s="137"/>
      <c r="AL176" s="92">
        <f t="shared" ref="AL176:AL187" si="90">SUM(AF176,AH176,AJ176)</f>
        <v>0</v>
      </c>
      <c r="AM176" s="138"/>
      <c r="AN176" s="585">
        <f t="shared" si="76"/>
        <v>10908639</v>
      </c>
      <c r="AO176" s="105" t="s">
        <v>265</v>
      </c>
      <c r="AP176" s="28"/>
      <c r="AQ176" s="28"/>
      <c r="AR176" s="28"/>
      <c r="AS176" s="28"/>
      <c r="AT176" s="28"/>
    </row>
    <row r="177" spans="1:46" s="10" customFormat="1" ht="18" customHeight="1" thickBot="1">
      <c r="A177" s="5"/>
      <c r="B177" s="86"/>
      <c r="C177" s="189" t="s">
        <v>249</v>
      </c>
      <c r="D177" s="161" t="s">
        <v>129</v>
      </c>
      <c r="E177" s="161" t="s">
        <v>266</v>
      </c>
      <c r="F177" s="144" t="s">
        <v>267</v>
      </c>
      <c r="G177" s="191" t="s">
        <v>268</v>
      </c>
      <c r="H177" s="96">
        <f>H199*20%</f>
        <v>22819516.400000002</v>
      </c>
      <c r="I177" s="61"/>
      <c r="J177" s="96">
        <f>J199*20%</f>
        <v>19977866</v>
      </c>
      <c r="K177" s="61"/>
      <c r="L177" s="96">
        <f>L199*20%</f>
        <v>24230990.800000001</v>
      </c>
      <c r="M177" s="61"/>
      <c r="N177" s="164">
        <f>SUM(H177,J177,L177)</f>
        <v>67028373.200000003</v>
      </c>
      <c r="O177" s="60"/>
      <c r="P177" s="96">
        <f>P199*20%</f>
        <v>21347184.600000001</v>
      </c>
      <c r="Q177" s="61"/>
      <c r="R177" s="96">
        <f>R199*20%</f>
        <v>18990245.800000001</v>
      </c>
      <c r="S177" s="61"/>
      <c r="T177" s="96"/>
      <c r="U177" s="61"/>
      <c r="V177" s="164">
        <f t="shared" si="88"/>
        <v>40337430.400000006</v>
      </c>
      <c r="W177" s="25"/>
      <c r="X177" s="96"/>
      <c r="Y177" s="61"/>
      <c r="Z177" s="96"/>
      <c r="AA177" s="61"/>
      <c r="AB177" s="96"/>
      <c r="AC177" s="61"/>
      <c r="AD177" s="91">
        <f t="shared" si="89"/>
        <v>0</v>
      </c>
      <c r="AE177" s="25"/>
      <c r="AF177" s="96"/>
      <c r="AG177" s="61"/>
      <c r="AH177" s="96"/>
      <c r="AI177" s="61"/>
      <c r="AJ177" s="96"/>
      <c r="AK177" s="61"/>
      <c r="AL177" s="92">
        <f t="shared" si="90"/>
        <v>0</v>
      </c>
      <c r="AM177" s="25"/>
      <c r="AN177" s="585">
        <f t="shared" si="76"/>
        <v>107365803.60000001</v>
      </c>
      <c r="AO177" s="66"/>
      <c r="AP177" s="71"/>
      <c r="AQ177" s="28"/>
      <c r="AR177" s="28"/>
      <c r="AS177" s="28"/>
      <c r="AT177" s="28"/>
    </row>
    <row r="178" spans="1:46" s="10" customFormat="1" ht="18" customHeight="1" thickBot="1">
      <c r="B178" s="86"/>
      <c r="C178" s="98"/>
      <c r="D178" s="1366" t="s">
        <v>231</v>
      </c>
      <c r="E178" s="1367" t="s">
        <v>232</v>
      </c>
      <c r="F178" s="154" t="s">
        <v>233</v>
      </c>
      <c r="G178" s="132" t="s">
        <v>234</v>
      </c>
      <c r="H178" s="155">
        <v>5400264</v>
      </c>
      <c r="I178" s="90"/>
      <c r="J178" s="155">
        <v>5400264</v>
      </c>
      <c r="K178" s="90"/>
      <c r="L178" s="155">
        <v>5400264</v>
      </c>
      <c r="M178" s="661"/>
      <c r="N178" s="156">
        <f t="shared" ref="N178:N183" si="91">SUM(H178,J178,L178)</f>
        <v>16200792</v>
      </c>
      <c r="O178" s="34"/>
      <c r="P178" s="155">
        <v>5400264</v>
      </c>
      <c r="Q178" s="90"/>
      <c r="R178" s="155">
        <v>5400264</v>
      </c>
      <c r="S178" s="90"/>
      <c r="T178" s="155"/>
      <c r="U178" s="661"/>
      <c r="V178" s="156">
        <f t="shared" si="88"/>
        <v>10800528</v>
      </c>
      <c r="W178" s="34"/>
      <c r="X178" s="155"/>
      <c r="Y178" s="90"/>
      <c r="Z178" s="155"/>
      <c r="AA178" s="90"/>
      <c r="AB178" s="155"/>
      <c r="AC178" s="661"/>
      <c r="AD178" s="156">
        <f t="shared" si="89"/>
        <v>0</v>
      </c>
      <c r="AE178" s="34"/>
      <c r="AF178" s="155"/>
      <c r="AG178" s="90"/>
      <c r="AH178" s="155"/>
      <c r="AI178" s="90"/>
      <c r="AJ178" s="155"/>
      <c r="AK178" s="661"/>
      <c r="AL178" s="156">
        <f t="shared" si="90"/>
        <v>0</v>
      </c>
      <c r="AM178" s="34"/>
      <c r="AN178" s="587">
        <f t="shared" si="76"/>
        <v>27001320</v>
      </c>
      <c r="AO178" s="40" t="s">
        <v>593</v>
      </c>
      <c r="AP178" s="157"/>
      <c r="AQ178" s="28"/>
      <c r="AR178" s="28"/>
    </row>
    <row r="179" spans="1:46" s="10" customFormat="1" ht="18" customHeight="1" thickBot="1">
      <c r="B179" s="86"/>
      <c r="C179" s="98"/>
      <c r="D179" s="1366" t="s">
        <v>231</v>
      </c>
      <c r="E179" s="1367" t="s">
        <v>232</v>
      </c>
      <c r="F179" s="158" t="s">
        <v>235</v>
      </c>
      <c r="G179" s="88" t="s">
        <v>234</v>
      </c>
      <c r="H179" s="159">
        <v>452840</v>
      </c>
      <c r="I179" s="90"/>
      <c r="J179" s="159">
        <v>452840</v>
      </c>
      <c r="K179" s="90"/>
      <c r="L179" s="159">
        <v>452840</v>
      </c>
      <c r="M179" s="661"/>
      <c r="N179" s="89">
        <f t="shared" si="91"/>
        <v>1358520</v>
      </c>
      <c r="O179" s="34"/>
      <c r="P179" s="159">
        <v>452840</v>
      </c>
      <c r="Q179" s="90"/>
      <c r="R179" s="159">
        <v>452840</v>
      </c>
      <c r="S179" s="90"/>
      <c r="T179" s="159"/>
      <c r="U179" s="661"/>
      <c r="V179" s="101">
        <f t="shared" si="88"/>
        <v>905680</v>
      </c>
      <c r="W179" s="34"/>
      <c r="X179" s="159"/>
      <c r="Y179" s="90"/>
      <c r="Z179" s="159"/>
      <c r="AA179" s="90"/>
      <c r="AB179" s="159"/>
      <c r="AC179" s="661"/>
      <c r="AD179" s="89">
        <f t="shared" si="89"/>
        <v>0</v>
      </c>
      <c r="AE179" s="34"/>
      <c r="AF179" s="159"/>
      <c r="AG179" s="90"/>
      <c r="AH179" s="159"/>
      <c r="AI179" s="90"/>
      <c r="AJ179" s="159"/>
      <c r="AK179" s="661"/>
      <c r="AL179" s="89">
        <f t="shared" si="90"/>
        <v>0</v>
      </c>
      <c r="AM179" s="34"/>
      <c r="AN179" s="586">
        <f t="shared" si="76"/>
        <v>2264200</v>
      </c>
      <c r="AO179" s="40" t="s">
        <v>593</v>
      </c>
      <c r="AP179" s="157"/>
      <c r="AQ179" s="28"/>
      <c r="AR179" s="28"/>
    </row>
    <row r="180" spans="1:46" s="10" customFormat="1" ht="18" customHeight="1" thickBot="1">
      <c r="B180" s="86"/>
      <c r="C180" s="98"/>
      <c r="D180" s="1366" t="s">
        <v>231</v>
      </c>
      <c r="E180" s="1367" t="s">
        <v>232</v>
      </c>
      <c r="F180" s="158" t="s">
        <v>236</v>
      </c>
      <c r="G180" s="88" t="s">
        <v>234</v>
      </c>
      <c r="H180" s="159">
        <v>636665.83333333314</v>
      </c>
      <c r="I180" s="90"/>
      <c r="J180" s="1030">
        <v>891261.58333333314</v>
      </c>
      <c r="K180" s="90"/>
      <c r="L180" s="159">
        <v>891261.58333333314</v>
      </c>
      <c r="M180" s="661"/>
      <c r="N180" s="89">
        <f t="shared" si="91"/>
        <v>2419188.9999999995</v>
      </c>
      <c r="O180" s="34"/>
      <c r="P180" s="159">
        <v>891261.58333333314</v>
      </c>
      <c r="Q180" s="90"/>
      <c r="R180" s="159">
        <v>891261.58333333314</v>
      </c>
      <c r="S180" s="90"/>
      <c r="T180" s="159"/>
      <c r="U180" s="661"/>
      <c r="V180" s="101">
        <f t="shared" si="88"/>
        <v>1782523.1666666663</v>
      </c>
      <c r="W180" s="34"/>
      <c r="X180" s="159"/>
      <c r="Y180" s="90"/>
      <c r="Z180" s="159"/>
      <c r="AA180" s="90"/>
      <c r="AB180" s="159"/>
      <c r="AC180" s="661"/>
      <c r="AD180" s="89">
        <f t="shared" si="89"/>
        <v>0</v>
      </c>
      <c r="AE180" s="34"/>
      <c r="AF180" s="159"/>
      <c r="AG180" s="90"/>
      <c r="AH180" s="159"/>
      <c r="AI180" s="90"/>
      <c r="AJ180" s="159"/>
      <c r="AK180" s="661"/>
      <c r="AL180" s="89">
        <f t="shared" si="90"/>
        <v>0</v>
      </c>
      <c r="AM180" s="34"/>
      <c r="AN180" s="586">
        <f t="shared" si="76"/>
        <v>4201712.166666666</v>
      </c>
      <c r="AO180" s="40" t="s">
        <v>593</v>
      </c>
      <c r="AP180" s="157"/>
      <c r="AQ180" s="28"/>
      <c r="AR180" s="28"/>
      <c r="AS180" s="28"/>
    </row>
    <row r="181" spans="1:46" s="10" customFormat="1" ht="18" customHeight="1" thickBot="1">
      <c r="B181" s="86"/>
      <c r="C181" s="98"/>
      <c r="D181" s="1366" t="s">
        <v>231</v>
      </c>
      <c r="E181" s="1367" t="s">
        <v>232</v>
      </c>
      <c r="F181" s="158" t="s">
        <v>237</v>
      </c>
      <c r="G181" s="88" t="s">
        <v>234</v>
      </c>
      <c r="H181" s="159">
        <v>3720697.3333333335</v>
      </c>
      <c r="I181" s="90"/>
      <c r="J181" s="159">
        <v>3720697.3333333335</v>
      </c>
      <c r="K181" s="90"/>
      <c r="L181" s="159">
        <v>3720697.3333333335</v>
      </c>
      <c r="M181" s="661"/>
      <c r="N181" s="89">
        <f t="shared" si="91"/>
        <v>11162092</v>
      </c>
      <c r="O181" s="34"/>
      <c r="P181" s="159">
        <v>3720697.3333333335</v>
      </c>
      <c r="Q181" s="90"/>
      <c r="R181" s="159">
        <v>3720697.3333333335</v>
      </c>
      <c r="S181" s="90"/>
      <c r="T181" s="159"/>
      <c r="U181" s="661"/>
      <c r="V181" s="101">
        <f t="shared" si="88"/>
        <v>7441394.666666667</v>
      </c>
      <c r="W181" s="34"/>
      <c r="X181" s="159"/>
      <c r="Y181" s="90"/>
      <c r="Z181" s="159"/>
      <c r="AA181" s="90"/>
      <c r="AB181" s="159"/>
      <c r="AC181" s="661"/>
      <c r="AD181" s="89">
        <f t="shared" si="89"/>
        <v>0</v>
      </c>
      <c r="AE181" s="34"/>
      <c r="AF181" s="159"/>
      <c r="AG181" s="90"/>
      <c r="AH181" s="159"/>
      <c r="AI181" s="90"/>
      <c r="AJ181" s="159"/>
      <c r="AK181" s="661"/>
      <c r="AL181" s="89">
        <f t="shared" si="90"/>
        <v>0</v>
      </c>
      <c r="AM181" s="34"/>
      <c r="AN181" s="586">
        <f t="shared" si="76"/>
        <v>18603486.666666668</v>
      </c>
      <c r="AO181" s="40" t="s">
        <v>593</v>
      </c>
      <c r="AP181" s="157"/>
      <c r="AQ181" s="28"/>
      <c r="AR181" s="28"/>
      <c r="AS181" s="28"/>
    </row>
    <row r="182" spans="1:46" s="10" customFormat="1" ht="18" customHeight="1">
      <c r="B182" s="86"/>
      <c r="C182" s="98"/>
      <c r="D182" s="1366" t="s">
        <v>231</v>
      </c>
      <c r="E182" s="1367" t="s">
        <v>232</v>
      </c>
      <c r="F182" s="473" t="s">
        <v>302</v>
      </c>
      <c r="G182" s="97" t="s">
        <v>304</v>
      </c>
      <c r="H182" s="472">
        <v>2224949.916666667</v>
      </c>
      <c r="I182" s="90"/>
      <c r="J182" s="1031">
        <v>2758247.0833333335</v>
      </c>
      <c r="K182" s="90"/>
      <c r="L182" s="472">
        <v>2758247.0833333335</v>
      </c>
      <c r="M182" s="661"/>
      <c r="N182" s="101">
        <f t="shared" si="91"/>
        <v>7741444.083333334</v>
      </c>
      <c r="O182" s="34"/>
      <c r="P182" s="472">
        <v>2758247.0833333335</v>
      </c>
      <c r="Q182" s="90"/>
      <c r="R182" s="472">
        <v>2758247.0833333335</v>
      </c>
      <c r="S182" s="90"/>
      <c r="T182" s="472"/>
      <c r="U182" s="661"/>
      <c r="V182" s="101">
        <f t="shared" si="88"/>
        <v>5516494.166666667</v>
      </c>
      <c r="W182" s="34"/>
      <c r="X182" s="472"/>
      <c r="Y182" s="90"/>
      <c r="Z182" s="472"/>
      <c r="AA182" s="90"/>
      <c r="AB182" s="472"/>
      <c r="AC182" s="661"/>
      <c r="AD182" s="101">
        <f t="shared" si="89"/>
        <v>0</v>
      </c>
      <c r="AE182" s="34"/>
      <c r="AF182" s="472"/>
      <c r="AG182" s="90"/>
      <c r="AH182" s="472"/>
      <c r="AI182" s="90"/>
      <c r="AJ182" s="472"/>
      <c r="AK182" s="661"/>
      <c r="AL182" s="101">
        <f t="shared" si="90"/>
        <v>0</v>
      </c>
      <c r="AM182" s="34"/>
      <c r="AN182" s="585">
        <f t="shared" si="76"/>
        <v>13257938.25</v>
      </c>
      <c r="AO182" s="40" t="s">
        <v>593</v>
      </c>
      <c r="AP182" s="157"/>
      <c r="AQ182" s="28"/>
      <c r="AR182" s="28"/>
      <c r="AS182" s="28"/>
    </row>
    <row r="183" spans="1:46" s="10" customFormat="1" ht="18" customHeight="1">
      <c r="B183" s="86"/>
      <c r="C183" s="98"/>
      <c r="D183" s="1368" t="s">
        <v>238</v>
      </c>
      <c r="E183" s="1369" t="s">
        <v>232</v>
      </c>
      <c r="F183" s="432" t="s">
        <v>239</v>
      </c>
      <c r="G183" s="100" t="s">
        <v>240</v>
      </c>
      <c r="H183" s="160">
        <v>0</v>
      </c>
      <c r="I183" s="90"/>
      <c r="J183" s="160">
        <v>0</v>
      </c>
      <c r="K183" s="90"/>
      <c r="L183" s="160">
        <v>0</v>
      </c>
      <c r="M183" s="661"/>
      <c r="N183" s="101">
        <f t="shared" si="91"/>
        <v>0</v>
      </c>
      <c r="O183" s="34"/>
      <c r="P183" s="160">
        <v>0</v>
      </c>
      <c r="Q183" s="90"/>
      <c r="R183" s="160">
        <v>0</v>
      </c>
      <c r="S183" s="90"/>
      <c r="T183" s="160"/>
      <c r="U183" s="661"/>
      <c r="V183" s="101">
        <f t="shared" si="88"/>
        <v>0</v>
      </c>
      <c r="W183" s="34"/>
      <c r="X183" s="160"/>
      <c r="Y183" s="90"/>
      <c r="Z183" s="160"/>
      <c r="AA183" s="90"/>
      <c r="AB183" s="160"/>
      <c r="AC183" s="661"/>
      <c r="AD183" s="101">
        <f t="shared" si="89"/>
        <v>0</v>
      </c>
      <c r="AE183" s="34"/>
      <c r="AF183" s="160"/>
      <c r="AG183" s="90"/>
      <c r="AH183" s="160"/>
      <c r="AI183" s="90"/>
      <c r="AJ183" s="160"/>
      <c r="AK183" s="661"/>
      <c r="AL183" s="101">
        <f t="shared" si="90"/>
        <v>0</v>
      </c>
      <c r="AM183" s="34"/>
      <c r="AN183" s="585">
        <f t="shared" si="76"/>
        <v>0</v>
      </c>
      <c r="AO183" s="40" t="s">
        <v>593</v>
      </c>
      <c r="AP183" s="157"/>
      <c r="AQ183" s="28"/>
      <c r="AR183" s="28"/>
      <c r="AS183" s="28"/>
    </row>
    <row r="184" spans="1:46" s="10" customFormat="1" ht="18" customHeight="1">
      <c r="B184" s="86"/>
      <c r="C184" s="98"/>
      <c r="D184" s="1368" t="s">
        <v>238</v>
      </c>
      <c r="E184" s="1369" t="s">
        <v>232</v>
      </c>
      <c r="F184" s="161" t="s">
        <v>241</v>
      </c>
      <c r="G184" s="88" t="s">
        <v>242</v>
      </c>
      <c r="H184" s="162">
        <v>366666.66666666669</v>
      </c>
      <c r="I184" s="82"/>
      <c r="J184" s="162">
        <v>366666.66666666669</v>
      </c>
      <c r="K184" s="82"/>
      <c r="L184" s="162">
        <v>366666.66666666669</v>
      </c>
      <c r="M184" s="691"/>
      <c r="N184" s="89">
        <f>SUM(H184,J184,L184)</f>
        <v>1100000</v>
      </c>
      <c r="O184" s="81"/>
      <c r="P184" s="162">
        <v>366666.66666666669</v>
      </c>
      <c r="Q184" s="82"/>
      <c r="R184" s="162">
        <v>366666.66666666669</v>
      </c>
      <c r="S184" s="82"/>
      <c r="T184" s="162"/>
      <c r="U184" s="691"/>
      <c r="V184" s="101">
        <f t="shared" si="88"/>
        <v>733333.33333333337</v>
      </c>
      <c r="W184" s="81"/>
      <c r="X184" s="162"/>
      <c r="Y184" s="82"/>
      <c r="Z184" s="162"/>
      <c r="AA184" s="82"/>
      <c r="AB184" s="162"/>
      <c r="AC184" s="691"/>
      <c r="AD184" s="89">
        <f t="shared" si="89"/>
        <v>0</v>
      </c>
      <c r="AE184" s="81"/>
      <c r="AF184" s="162"/>
      <c r="AG184" s="82"/>
      <c r="AH184" s="162"/>
      <c r="AI184" s="82"/>
      <c r="AJ184" s="162"/>
      <c r="AK184" s="691"/>
      <c r="AL184" s="101">
        <f t="shared" si="90"/>
        <v>0</v>
      </c>
      <c r="AM184" s="81"/>
      <c r="AN184" s="585">
        <f t="shared" si="76"/>
        <v>1833333.3333333335</v>
      </c>
      <c r="AO184" s="40" t="s">
        <v>593</v>
      </c>
      <c r="AP184" s="157"/>
      <c r="AQ184" s="28"/>
      <c r="AR184" s="28"/>
      <c r="AS184" s="28"/>
    </row>
    <row r="185" spans="1:46" s="10" customFormat="1" ht="18" customHeight="1" thickBot="1">
      <c r="B185" s="433"/>
      <c r="C185" s="98"/>
      <c r="D185" s="1368" t="s">
        <v>238</v>
      </c>
      <c r="E185" s="1369" t="s">
        <v>232</v>
      </c>
      <c r="F185" s="646" t="s">
        <v>243</v>
      </c>
      <c r="G185" s="490" t="s">
        <v>242</v>
      </c>
      <c r="H185" s="163">
        <v>0</v>
      </c>
      <c r="I185" s="82"/>
      <c r="J185" s="163">
        <v>0</v>
      </c>
      <c r="K185" s="82"/>
      <c r="L185" s="163">
        <v>0</v>
      </c>
      <c r="M185" s="691"/>
      <c r="N185" s="164">
        <f>SUM(H185,J185,L185)</f>
        <v>0</v>
      </c>
      <c r="O185" s="81"/>
      <c r="P185" s="163">
        <v>0</v>
      </c>
      <c r="Q185" s="82"/>
      <c r="R185" s="163">
        <v>0</v>
      </c>
      <c r="S185" s="82"/>
      <c r="T185" s="163"/>
      <c r="U185" s="691"/>
      <c r="V185" s="697">
        <f t="shared" si="88"/>
        <v>0</v>
      </c>
      <c r="W185" s="81"/>
      <c r="X185" s="163"/>
      <c r="Y185" s="82"/>
      <c r="Z185" s="163"/>
      <c r="AA185" s="82"/>
      <c r="AB185" s="163"/>
      <c r="AC185" s="691"/>
      <c r="AD185" s="164">
        <f t="shared" si="89"/>
        <v>0</v>
      </c>
      <c r="AE185" s="81"/>
      <c r="AF185" s="163"/>
      <c r="AG185" s="82"/>
      <c r="AH185" s="163"/>
      <c r="AI185" s="82"/>
      <c r="AJ185" s="163"/>
      <c r="AK185" s="691"/>
      <c r="AL185" s="697">
        <f t="shared" si="90"/>
        <v>0</v>
      </c>
      <c r="AM185" s="81"/>
      <c r="AN185" s="588">
        <f t="shared" si="76"/>
        <v>0</v>
      </c>
      <c r="AO185" s="40" t="s">
        <v>593</v>
      </c>
      <c r="AP185" s="157"/>
      <c r="AR185" s="28"/>
      <c r="AS185" s="28"/>
    </row>
    <row r="186" spans="1:46" s="10" customFormat="1" ht="18" customHeight="1" thickBot="1">
      <c r="B186" s="1077" t="s">
        <v>244</v>
      </c>
      <c r="C186" s="1078"/>
      <c r="D186" s="1078"/>
      <c r="E186" s="1078"/>
      <c r="F186" s="1078"/>
      <c r="G186" s="1079"/>
      <c r="H186" s="165">
        <f>SUM(H178:H185)</f>
        <v>12802083.749999998</v>
      </c>
      <c r="I186" s="168">
        <f t="shared" ref="I186:I189" si="92">H186/H$27</f>
        <v>0.15091644181910388</v>
      </c>
      <c r="J186" s="165">
        <f>SUM(J178:J185)</f>
        <v>13589976.666666666</v>
      </c>
      <c r="K186" s="168">
        <f>J186/J$27</f>
        <v>0.18423933227986755</v>
      </c>
      <c r="L186" s="166">
        <f>SUM(L178:L185)</f>
        <v>13589976.666666666</v>
      </c>
      <c r="M186" s="168">
        <f>L186/L$27</f>
        <v>0.13368069782926142</v>
      </c>
      <c r="N186" s="167">
        <f>SUM(H186,J186,L186)</f>
        <v>39982037.083333328</v>
      </c>
      <c r="O186" s="168">
        <f>N186/N$27</f>
        <v>0.15362842760155798</v>
      </c>
      <c r="P186" s="754">
        <f>SUM(P178:P185)</f>
        <v>13589976.666666666</v>
      </c>
      <c r="Q186" s="168">
        <f>P186/$P$27</f>
        <v>0.1331315725295848</v>
      </c>
      <c r="R186" s="754">
        <f>SUM(R178:R185)</f>
        <v>13589976.666666666</v>
      </c>
      <c r="S186" s="168">
        <f>R186/$R$27</f>
        <v>0.14752748468535792</v>
      </c>
      <c r="T186" s="754">
        <f>SUM(T178:T185)</f>
        <v>0</v>
      </c>
      <c r="U186" s="169" t="e">
        <f>T186/$T$27</f>
        <v>#DIV/0!</v>
      </c>
      <c r="V186" s="170">
        <f t="shared" si="88"/>
        <v>27179953.333333332</v>
      </c>
      <c r="W186" s="171">
        <f>V186/$V$27</f>
        <v>0.13996032212460696</v>
      </c>
      <c r="X186" s="754">
        <f>SUM(X178:X185)</f>
        <v>0</v>
      </c>
      <c r="Y186" s="171" t="e">
        <f>X186/X$27</f>
        <v>#DIV/0!</v>
      </c>
      <c r="Z186" s="754">
        <f>SUM(Z178:Z185)</f>
        <v>0</v>
      </c>
      <c r="AA186" s="171" t="e">
        <f>Z186/Z$27</f>
        <v>#DIV/0!</v>
      </c>
      <c r="AB186" s="754">
        <f>SUM(AB178:AB185)</f>
        <v>0</v>
      </c>
      <c r="AC186" s="171" t="e">
        <f>AB186/AB$27</f>
        <v>#DIV/0!</v>
      </c>
      <c r="AD186" s="172">
        <f t="shared" si="89"/>
        <v>0</v>
      </c>
      <c r="AE186" s="171">
        <f>AD186/$V$27</f>
        <v>0</v>
      </c>
      <c r="AF186" s="754">
        <f>SUM(AF178:AF185)</f>
        <v>0</v>
      </c>
      <c r="AG186" s="171" t="e">
        <f>AF186/AF$27</f>
        <v>#DIV/0!</v>
      </c>
      <c r="AH186" s="754">
        <f>SUM(AH178:AH185)</f>
        <v>0</v>
      </c>
      <c r="AI186" s="171" t="e">
        <f>AH186/AH$27</f>
        <v>#DIV/0!</v>
      </c>
      <c r="AJ186" s="754">
        <f>SUM(AJ178:AJ185)</f>
        <v>0</v>
      </c>
      <c r="AK186" s="171" t="e">
        <f>AJ186/AJ$27</f>
        <v>#DIV/0!</v>
      </c>
      <c r="AL186" s="173">
        <f t="shared" si="90"/>
        <v>0</v>
      </c>
      <c r="AM186" s="171">
        <f>AL186/$V$27</f>
        <v>0</v>
      </c>
      <c r="AN186" s="167">
        <f t="shared" si="76"/>
        <v>67161990.416666657</v>
      </c>
      <c r="AO186" s="174">
        <f t="shared" ref="AO186:AO189" si="93">AN186/AN$27</f>
        <v>0.14778770162147609</v>
      </c>
      <c r="AP186" s="175"/>
      <c r="AR186" s="28"/>
      <c r="AS186" s="28"/>
    </row>
    <row r="187" spans="1:46" s="10" customFormat="1" ht="20" customHeight="1" thickBot="1">
      <c r="B187" s="1068" t="s">
        <v>269</v>
      </c>
      <c r="C187" s="1069"/>
      <c r="D187" s="1069"/>
      <c r="E187" s="1069"/>
      <c r="F187" s="1069"/>
      <c r="G187" s="1070"/>
      <c r="H187" s="192">
        <f>SUM(H176:H177,H186)</f>
        <v>37784464.149999999</v>
      </c>
      <c r="I187" s="181">
        <f t="shared" si="92"/>
        <v>0.44541943303249304</v>
      </c>
      <c r="J187" s="192">
        <f>SUM(J176:J177,J186)</f>
        <v>35730706.666666664</v>
      </c>
      <c r="K187" s="181">
        <f t="shared" ref="K187:K189" si="94">J187/J$27</f>
        <v>0.48440123920898159</v>
      </c>
      <c r="L187" s="192">
        <f>SUM(L176:L177,L186)</f>
        <v>39774522.466666669</v>
      </c>
      <c r="M187" s="181">
        <f t="shared" ref="M187:M189" si="95">L187/L$27</f>
        <v>0.39125055543408854</v>
      </c>
      <c r="N187" s="195">
        <f t="shared" si="84"/>
        <v>113289693.28333333</v>
      </c>
      <c r="O187" s="180">
        <f>N187/N$27</f>
        <v>0.43530842128692904</v>
      </c>
      <c r="P187" s="192">
        <f>SUM(P176:P177,P186)</f>
        <v>37283559.266666666</v>
      </c>
      <c r="Q187" s="181">
        <f>P187/P$27</f>
        <v>0.36524116239625432</v>
      </c>
      <c r="R187" s="192">
        <f>SUM(R176:R177,R186)</f>
        <v>34863180.466666669</v>
      </c>
      <c r="S187" s="181">
        <f>R187/R$27</f>
        <v>0.37846108558776309</v>
      </c>
      <c r="T187" s="192">
        <f>SUM(T176:T177,T186)</f>
        <v>0</v>
      </c>
      <c r="U187" s="181" t="e">
        <f>T187/T$27</f>
        <v>#DIV/0!</v>
      </c>
      <c r="V187" s="195">
        <f t="shared" si="85"/>
        <v>72146739.733333334</v>
      </c>
      <c r="W187" s="181">
        <f>V187/$V$27</f>
        <v>0.37151207765076544</v>
      </c>
      <c r="X187" s="192">
        <f>SUM(X176:X177,X186)</f>
        <v>0</v>
      </c>
      <c r="Y187" s="181" t="e">
        <f>X187/X$27</f>
        <v>#DIV/0!</v>
      </c>
      <c r="Z187" s="192">
        <f>SUM(Z176:Z177,Z186)</f>
        <v>0</v>
      </c>
      <c r="AA187" s="181" t="e">
        <f>Z187/Z$27</f>
        <v>#DIV/0!</v>
      </c>
      <c r="AB187" s="192">
        <f>SUM(AB176:AB177,AB186)</f>
        <v>0</v>
      </c>
      <c r="AC187" s="181" t="e">
        <f>AB187/AB$27</f>
        <v>#DIV/0!</v>
      </c>
      <c r="AD187" s="193">
        <f t="shared" si="86"/>
        <v>0</v>
      </c>
      <c r="AE187" s="181">
        <f>AD187/$V$27</f>
        <v>0</v>
      </c>
      <c r="AF187" s="192">
        <f>SUM(AF176:AF177,AF186)</f>
        <v>0</v>
      </c>
      <c r="AG187" s="181" t="e">
        <f>AF187/AF$27</f>
        <v>#DIV/0!</v>
      </c>
      <c r="AH187" s="192">
        <f>SUM(AH176:AH177,AH186)</f>
        <v>0</v>
      </c>
      <c r="AI187" s="181" t="e">
        <f>AH187/AH$27</f>
        <v>#DIV/0!</v>
      </c>
      <c r="AJ187" s="192">
        <f>SUM(AJ176:AJ177,AJ186)</f>
        <v>0</v>
      </c>
      <c r="AK187" s="181" t="e">
        <f>AJ187/AJ$27</f>
        <v>#DIV/0!</v>
      </c>
      <c r="AL187" s="194">
        <f t="shared" si="90"/>
        <v>0</v>
      </c>
      <c r="AM187" s="181">
        <f>AL187/$V$27</f>
        <v>0</v>
      </c>
      <c r="AN187" s="195">
        <f t="shared" si="76"/>
        <v>185436433.01666665</v>
      </c>
      <c r="AO187" s="183">
        <f t="shared" si="93"/>
        <v>0.40804663564016702</v>
      </c>
      <c r="AP187" s="4" t="s">
        <v>270</v>
      </c>
      <c r="AQ187" s="28"/>
      <c r="AR187" s="28"/>
      <c r="AS187" s="28"/>
    </row>
    <row r="188" spans="1:46" s="85" customFormat="1" ht="20" customHeight="1" thickBot="1">
      <c r="B188" s="1071" t="s">
        <v>271</v>
      </c>
      <c r="C188" s="1072"/>
      <c r="D188" s="1072"/>
      <c r="E188" s="1072"/>
      <c r="F188" s="1072"/>
      <c r="G188" s="1073"/>
      <c r="H188" s="196">
        <f>SUM(H79+H174+H187)</f>
        <v>133986970.61016619</v>
      </c>
      <c r="I188" s="201">
        <f t="shared" si="92"/>
        <v>1.5794957484641616</v>
      </c>
      <c r="J188" s="196">
        <f>SUM(J79+J174+J187)</f>
        <v>126445092.50757575</v>
      </c>
      <c r="K188" s="201">
        <f t="shared" si="94"/>
        <v>1.7142162922768207</v>
      </c>
      <c r="L188" s="196">
        <f>SUM(L79+L174+L187)</f>
        <v>142664268.73939395</v>
      </c>
      <c r="M188" s="201">
        <f t="shared" si="95"/>
        <v>1.4033474426164187</v>
      </c>
      <c r="N188" s="199">
        <f t="shared" si="84"/>
        <v>403096331.85713589</v>
      </c>
      <c r="O188" s="200">
        <f>N188/N$27</f>
        <v>1.5488719473221171</v>
      </c>
      <c r="P188" s="196">
        <f>SUM(P79+P174+P187)</f>
        <v>141041331.43333334</v>
      </c>
      <c r="Q188" s="201">
        <f>P188/P$27</f>
        <v>1.3816840680412765</v>
      </c>
      <c r="R188" s="196">
        <f>SUM(R79+R174+R187)</f>
        <v>138070682.46666667</v>
      </c>
      <c r="S188" s="201">
        <f>R188/R$27</f>
        <v>1.4988414618149761</v>
      </c>
      <c r="T188" s="196">
        <f>SUM(T79+T174+T187)</f>
        <v>0</v>
      </c>
      <c r="U188" s="201" t="e">
        <f>T188/T$27</f>
        <v>#DIV/0!</v>
      </c>
      <c r="V188" s="199">
        <f t="shared" si="85"/>
        <v>279112013.89999998</v>
      </c>
      <c r="W188" s="201">
        <f>V188/$V$27</f>
        <v>1.4372580738166012</v>
      </c>
      <c r="X188" s="196">
        <f>SUM(X79+X174+X187)</f>
        <v>0</v>
      </c>
      <c r="Y188" s="201" t="e">
        <f>X188/X$27</f>
        <v>#DIV/0!</v>
      </c>
      <c r="Z188" s="196">
        <f>SUM(Z79+Z174+Z187)</f>
        <v>0</v>
      </c>
      <c r="AA188" s="201" t="e">
        <f>Z188/Z$27</f>
        <v>#DIV/0!</v>
      </c>
      <c r="AB188" s="196">
        <f>SUM(AB79+AB174+AB187)</f>
        <v>0</v>
      </c>
      <c r="AC188" s="201" t="e">
        <f>AB188/AB$27</f>
        <v>#DIV/0!</v>
      </c>
      <c r="AD188" s="197">
        <f t="shared" si="86"/>
        <v>0</v>
      </c>
      <c r="AE188" s="201">
        <f>AD188/$V$27</f>
        <v>0</v>
      </c>
      <c r="AF188" s="196">
        <f>SUM(AF79+AF174+AF187)</f>
        <v>0</v>
      </c>
      <c r="AG188" s="201" t="e">
        <f>AF188/AF$27</f>
        <v>#DIV/0!</v>
      </c>
      <c r="AH188" s="196">
        <f>SUM(AH79+AH174+AH187)</f>
        <v>0</v>
      </c>
      <c r="AI188" s="201" t="e">
        <f>AH188/AH$27</f>
        <v>#DIV/0!</v>
      </c>
      <c r="AJ188" s="196">
        <f>SUM(AJ79+AJ174+AJ187)</f>
        <v>0</v>
      </c>
      <c r="AK188" s="201" t="e">
        <f>AJ188/AJ$27</f>
        <v>#DIV/0!</v>
      </c>
      <c r="AL188" s="198">
        <f t="shared" si="87"/>
        <v>0</v>
      </c>
      <c r="AM188" s="201">
        <f>AL188/$V$27</f>
        <v>0</v>
      </c>
      <c r="AN188" s="199">
        <f t="shared" si="76"/>
        <v>682208345.75713587</v>
      </c>
      <c r="AO188" s="202">
        <f t="shared" si="93"/>
        <v>1.5011765259032108</v>
      </c>
      <c r="AP188" s="4" t="s">
        <v>272</v>
      </c>
      <c r="AQ188" s="84"/>
      <c r="AR188" s="203"/>
      <c r="AS188" s="84"/>
      <c r="AT188" s="84"/>
    </row>
    <row r="189" spans="1:46" s="85" customFormat="1" ht="19.75" customHeight="1" thickTop="1" thickBot="1">
      <c r="B189" s="1060" t="s">
        <v>273</v>
      </c>
      <c r="C189" s="1061"/>
      <c r="D189" s="1062"/>
      <c r="E189" s="1063" t="s">
        <v>592</v>
      </c>
      <c r="F189" s="1063"/>
      <c r="G189" s="1064"/>
      <c r="H189" s="204">
        <f>H27-(H79+H174+H187)</f>
        <v>-49158017.610166192</v>
      </c>
      <c r="I189" s="208">
        <f t="shared" si="92"/>
        <v>-0.57949574846416163</v>
      </c>
      <c r="J189" s="204">
        <f>J27-(J79+J174+J187)</f>
        <v>-52682468.107575744</v>
      </c>
      <c r="K189" s="208">
        <f t="shared" si="94"/>
        <v>-0.7142162922768206</v>
      </c>
      <c r="L189" s="205">
        <f>L27-(L79+L174+L187)</f>
        <v>-41004291.73939395</v>
      </c>
      <c r="M189" s="208">
        <f t="shared" si="95"/>
        <v>-0.40334744261641875</v>
      </c>
      <c r="N189" s="206">
        <f t="shared" si="84"/>
        <v>-142844777.45713589</v>
      </c>
      <c r="O189" s="207">
        <f>N189/N$27</f>
        <v>-0.54887194732211708</v>
      </c>
      <c r="P189" s="205">
        <f>P27-(P79+P174+P187)</f>
        <v>-38962039.433333337</v>
      </c>
      <c r="Q189" s="208">
        <f>P189/P$27</f>
        <v>-0.38168406804127658</v>
      </c>
      <c r="R189" s="205">
        <f>R27-(R79+R174+R187)</f>
        <v>-45952412.466666669</v>
      </c>
      <c r="S189" s="208">
        <f>R189/R$27</f>
        <v>-0.49884146181497618</v>
      </c>
      <c r="T189" s="205">
        <f>T27-(T79+T174+T187)</f>
        <v>0</v>
      </c>
      <c r="U189" s="208" t="e">
        <f>T189/T$27</f>
        <v>#DIV/0!</v>
      </c>
      <c r="V189" s="206">
        <f t="shared" si="85"/>
        <v>-84914451.900000006</v>
      </c>
      <c r="W189" s="208">
        <f>V189/$V$27</f>
        <v>-0.43725807381660131</v>
      </c>
      <c r="X189" s="205">
        <f>X27-(X79+X174+X187)</f>
        <v>0</v>
      </c>
      <c r="Y189" s="208" t="e">
        <f>X189/X$27</f>
        <v>#DIV/0!</v>
      </c>
      <c r="Z189" s="205">
        <f>Z27-(Z79+Z174+Z187)</f>
        <v>0</v>
      </c>
      <c r="AA189" s="208" t="e">
        <f>Z189/Z$27</f>
        <v>#DIV/0!</v>
      </c>
      <c r="AB189" s="205">
        <f>AB27-(AB79+AB174+AB187)</f>
        <v>0</v>
      </c>
      <c r="AC189" s="208" t="e">
        <f>AB189/AB$27</f>
        <v>#DIV/0!</v>
      </c>
      <c r="AD189" s="187">
        <f t="shared" si="86"/>
        <v>0</v>
      </c>
      <c r="AE189" s="208">
        <f>AD189/$V$27</f>
        <v>0</v>
      </c>
      <c r="AF189" s="205">
        <f>AF27-(AF79+AF174+AF187)</f>
        <v>0</v>
      </c>
      <c r="AG189" s="208" t="e">
        <f>AF189/AF$27</f>
        <v>#DIV/0!</v>
      </c>
      <c r="AH189" s="205">
        <f>AH27-(AH79+AH174+AH187)</f>
        <v>0</v>
      </c>
      <c r="AI189" s="208" t="e">
        <f>AH189/AH$27</f>
        <v>#DIV/0!</v>
      </c>
      <c r="AJ189" s="205">
        <f>AJ27-(AJ79+AJ174+AJ187)</f>
        <v>0</v>
      </c>
      <c r="AK189" s="208" t="e">
        <f>AJ189/AJ$27</f>
        <v>#DIV/0!</v>
      </c>
      <c r="AL189" s="205">
        <f t="shared" si="87"/>
        <v>0</v>
      </c>
      <c r="AM189" s="208">
        <f>AL189/$V$27</f>
        <v>0</v>
      </c>
      <c r="AN189" s="209">
        <f t="shared" si="76"/>
        <v>-227759229.35713589</v>
      </c>
      <c r="AO189" s="188">
        <f t="shared" si="93"/>
        <v>-0.50117652590321093</v>
      </c>
      <c r="AP189" s="83" t="s">
        <v>274</v>
      </c>
      <c r="AQ189" s="84"/>
      <c r="AR189" s="210"/>
      <c r="AS189" s="84"/>
      <c r="AT189" s="84"/>
    </row>
    <row r="190" spans="1:46" ht="18" hidden="1" thickTop="1">
      <c r="G190" s="213" t="s">
        <v>275</v>
      </c>
      <c r="H190" s="214">
        <f>H199-H191</f>
        <v>114097582</v>
      </c>
      <c r="I190" s="214"/>
      <c r="J190" s="214">
        <f>J199-J191</f>
        <v>99889330</v>
      </c>
      <c r="K190" s="214"/>
      <c r="L190" s="214" t="e">
        <f>L199-L191</f>
        <v>#REF!</v>
      </c>
      <c r="M190" s="214"/>
      <c r="N190" s="214"/>
      <c r="O190" s="215"/>
      <c r="P190" s="214" t="e">
        <f>P199-P191</f>
        <v>#REF!</v>
      </c>
      <c r="Q190" s="214"/>
      <c r="R190" s="214" t="e">
        <f>R199-R191</f>
        <v>#REF!</v>
      </c>
      <c r="S190" s="214"/>
      <c r="T190" s="214" t="e">
        <f>T199-T191</f>
        <v>#REF!</v>
      </c>
      <c r="U190" s="214"/>
      <c r="V190" s="214"/>
      <c r="W190" s="214"/>
      <c r="X190" s="214" t="e">
        <f>X199-X191</f>
        <v>#REF!</v>
      </c>
      <c r="Y190" s="214"/>
      <c r="Z190" s="214" t="e">
        <f>Z199-Z191</f>
        <v>#REF!</v>
      </c>
      <c r="AA190" s="214"/>
      <c r="AB190" s="214" t="e">
        <f>AB199-AB191</f>
        <v>#REF!</v>
      </c>
      <c r="AC190" s="214"/>
      <c r="AF190" s="214" t="e">
        <f>AF199-AF191</f>
        <v>#REF!</v>
      </c>
      <c r="AG190" s="214"/>
      <c r="AH190" s="214" t="e">
        <f>AH199-AH191</f>
        <v>#REF!</v>
      </c>
      <c r="AJ190" s="214" t="e">
        <f>AJ199-AJ191</f>
        <v>#REF!</v>
      </c>
      <c r="AL190" s="211"/>
      <c r="AM190" s="215"/>
      <c r="AN190" s="214"/>
      <c r="AO190" s="216"/>
      <c r="AP190" s="215"/>
      <c r="AQ190" s="217"/>
    </row>
    <row r="191" spans="1:46" ht="18" hidden="1" thickTop="1">
      <c r="G191" s="213" t="s">
        <v>276</v>
      </c>
      <c r="H191" s="218"/>
      <c r="I191" s="219"/>
      <c r="J191" s="218">
        <f>SUM(J192:J194)</f>
        <v>0</v>
      </c>
      <c r="K191" s="219"/>
      <c r="L191" s="218" t="e">
        <f>SUM(L192:L194)</f>
        <v>#REF!</v>
      </c>
      <c r="M191" s="219"/>
      <c r="N191" s="218"/>
      <c r="O191" s="215"/>
      <c r="P191" s="218" t="e">
        <f>SUM(P192:P194)</f>
        <v>#REF!</v>
      </c>
      <c r="Q191" s="219"/>
      <c r="R191" s="218" t="e">
        <f>SUM(R192:R194)</f>
        <v>#REF!</v>
      </c>
      <c r="S191" s="219"/>
      <c r="T191" s="218" t="e">
        <f>SUM(T192:T194)</f>
        <v>#REF!</v>
      </c>
      <c r="U191" s="219"/>
      <c r="V191" s="219"/>
      <c r="W191" s="219"/>
      <c r="X191" s="218" t="e">
        <f>SUM(X192:X194)</f>
        <v>#REF!</v>
      </c>
      <c r="Y191" s="219"/>
      <c r="Z191" s="218" t="e">
        <f>SUM(Z192:Z194)</f>
        <v>#REF!</v>
      </c>
      <c r="AA191" s="219"/>
      <c r="AB191" s="218" t="e">
        <f>SUM(AB192:AB194)</f>
        <v>#REF!</v>
      </c>
      <c r="AC191" s="219"/>
      <c r="AF191" s="218" t="e">
        <f>SUM(AF192:AF194)</f>
        <v>#REF!</v>
      </c>
      <c r="AG191" s="219"/>
      <c r="AH191" s="218" t="e">
        <f>SUM(AH192:AH194)</f>
        <v>#REF!</v>
      </c>
      <c r="AJ191" s="218" t="e">
        <f>SUM(AJ192:AJ194)</f>
        <v>#REF!</v>
      </c>
      <c r="AL191" s="211"/>
      <c r="AM191" s="215"/>
      <c r="AN191" s="219"/>
      <c r="AO191" s="216"/>
      <c r="AP191" s="215"/>
      <c r="AQ191" s="217"/>
    </row>
    <row r="192" spans="1:46" ht="18" hidden="1" thickTop="1">
      <c r="G192" s="220"/>
      <c r="H192" s="27"/>
      <c r="I192" s="221"/>
      <c r="J192" s="27"/>
      <c r="K192" s="221"/>
      <c r="L192" s="27" t="e">
        <f>#REF!</f>
        <v>#REF!</v>
      </c>
      <c r="M192" s="221"/>
      <c r="N192" s="27"/>
      <c r="O192" s="215"/>
      <c r="P192" s="27" t="e">
        <f>#REF!</f>
        <v>#REF!</v>
      </c>
      <c r="Q192" s="221"/>
      <c r="R192" s="27" t="e">
        <f>#REF!</f>
        <v>#REF!</v>
      </c>
      <c r="S192" s="221"/>
      <c r="T192" s="27" t="e">
        <f>#REF!</f>
        <v>#REF!</v>
      </c>
      <c r="U192" s="221"/>
      <c r="V192" s="221"/>
      <c r="W192" s="221"/>
      <c r="X192" s="27" t="e">
        <f>#REF!</f>
        <v>#REF!</v>
      </c>
      <c r="Y192" s="221"/>
      <c r="Z192" s="27" t="e">
        <f>#REF!</f>
        <v>#REF!</v>
      </c>
      <c r="AA192" s="221"/>
      <c r="AB192" s="27" t="e">
        <f>#REF!</f>
        <v>#REF!</v>
      </c>
      <c r="AC192" s="221"/>
      <c r="AF192" s="27" t="e">
        <f>#REF!</f>
        <v>#REF!</v>
      </c>
      <c r="AG192" s="221"/>
      <c r="AH192" s="27" t="e">
        <f>#REF!</f>
        <v>#REF!</v>
      </c>
      <c r="AJ192" s="27" t="e">
        <f>#REF!</f>
        <v>#REF!</v>
      </c>
      <c r="AL192" s="211"/>
      <c r="AM192" s="215"/>
      <c r="AN192" s="221"/>
      <c r="AO192" s="216"/>
      <c r="AP192" s="215"/>
      <c r="AQ192" s="217"/>
    </row>
    <row r="193" spans="1:46" ht="18" hidden="1" thickTop="1">
      <c r="G193" s="220"/>
      <c r="H193" s="27"/>
      <c r="I193" s="221"/>
      <c r="J193" s="27"/>
      <c r="K193" s="221"/>
      <c r="L193" s="27">
        <f>L187-L176-L177</f>
        <v>13589976.666666668</v>
      </c>
      <c r="M193" s="221"/>
      <c r="N193" s="27"/>
      <c r="O193" s="215"/>
      <c r="P193" s="27">
        <f>P187-P176-P177</f>
        <v>13589976.666666664</v>
      </c>
      <c r="Q193" s="221"/>
      <c r="R193" s="27">
        <f>R187-R176-R177</f>
        <v>13589976.666666668</v>
      </c>
      <c r="S193" s="221"/>
      <c r="T193" s="27">
        <f>T187-T176-T177</f>
        <v>0</v>
      </c>
      <c r="U193" s="221"/>
      <c r="V193" s="221"/>
      <c r="W193" s="221"/>
      <c r="X193" s="27">
        <f>X187-X176-X177</f>
        <v>0</v>
      </c>
      <c r="Y193" s="221"/>
      <c r="Z193" s="27">
        <f>Z187-Z176-Z177</f>
        <v>0</v>
      </c>
      <c r="AA193" s="221"/>
      <c r="AB193" s="27">
        <f>AB187-AB176-AB177</f>
        <v>0</v>
      </c>
      <c r="AC193" s="221"/>
      <c r="AF193" s="27">
        <f>AF187-AF176-AF177</f>
        <v>0</v>
      </c>
      <c r="AG193" s="221"/>
      <c r="AH193" s="27">
        <f>AH187-AH176-AH177</f>
        <v>0</v>
      </c>
      <c r="AJ193" s="27">
        <f>AJ187-AJ176-AJ177</f>
        <v>0</v>
      </c>
      <c r="AL193" s="211"/>
      <c r="AM193" s="215"/>
      <c r="AN193" s="221"/>
      <c r="AO193" s="216"/>
      <c r="AP193" s="215"/>
      <c r="AQ193" s="217"/>
    </row>
    <row r="194" spans="1:46" s="217" customFormat="1" ht="24" hidden="1" customHeight="1">
      <c r="C194" s="222"/>
      <c r="D194" s="222"/>
      <c r="E194" s="222"/>
      <c r="G194" s="220"/>
      <c r="H194" s="27"/>
      <c r="I194" s="221"/>
      <c r="J194" s="27"/>
      <c r="K194" s="221"/>
      <c r="L194" s="27">
        <f>L174-(SUM(L178:L185))</f>
        <v>30472306.606060609</v>
      </c>
      <c r="M194" s="221"/>
      <c r="N194" s="27"/>
      <c r="O194" s="223"/>
      <c r="P194" s="27">
        <f>P174-(SUM(P178:P185))</f>
        <v>29849631.333333336</v>
      </c>
      <c r="Q194" s="221"/>
      <c r="R194" s="27">
        <f>R174-(SUM(R178:R185))</f>
        <v>34187766.333333336</v>
      </c>
      <c r="S194" s="221"/>
      <c r="T194" s="27">
        <f>T174-(SUM(T178:T185))</f>
        <v>0</v>
      </c>
      <c r="U194" s="221"/>
      <c r="V194" s="221"/>
      <c r="W194" s="221"/>
      <c r="X194" s="27">
        <f>X174-(SUM(X178:X185))</f>
        <v>0</v>
      </c>
      <c r="Y194" s="221"/>
      <c r="Z194" s="27">
        <f>Z174-(SUM(Z178:Z185))</f>
        <v>0</v>
      </c>
      <c r="AA194" s="221"/>
      <c r="AB194" s="27">
        <f>AB174-(SUM(AB178:AB185))</f>
        <v>0</v>
      </c>
      <c r="AC194" s="221"/>
      <c r="AD194" s="27"/>
      <c r="AE194" s="27"/>
      <c r="AF194" s="27">
        <f>AF174-(SUM(AF178:AF185))</f>
        <v>0</v>
      </c>
      <c r="AG194" s="221"/>
      <c r="AH194" s="27">
        <f>AH174-(SUM(AH178:AH185))</f>
        <v>0</v>
      </c>
      <c r="AI194" s="27"/>
      <c r="AJ194" s="27">
        <f>AJ174-(SUM(AJ178:AJ185))</f>
        <v>0</v>
      </c>
      <c r="AK194" s="9"/>
      <c r="AL194" s="27"/>
      <c r="AM194" s="223"/>
      <c r="AN194" s="221"/>
      <c r="AO194" s="224"/>
      <c r="AP194" s="223"/>
      <c r="AS194" s="225"/>
    </row>
    <row r="195" spans="1:46" s="217" customFormat="1" ht="24" customHeight="1" thickTop="1">
      <c r="C195" s="222"/>
      <c r="D195" s="222"/>
      <c r="E195" s="222"/>
      <c r="F195" s="1059" t="s">
        <v>605</v>
      </c>
      <c r="G195" s="220" t="s">
        <v>601</v>
      </c>
      <c r="H195" s="27">
        <f>H187-H186</f>
        <v>24982380.399999999</v>
      </c>
      <c r="I195" s="221"/>
      <c r="J195" s="27">
        <f>J187-J186</f>
        <v>22140730</v>
      </c>
      <c r="K195" s="221"/>
      <c r="L195" s="27">
        <f>L187-L186</f>
        <v>26184545.800000004</v>
      </c>
      <c r="M195" s="221"/>
      <c r="N195" s="27">
        <f>N174-N186</f>
        <v>80548245.189393952</v>
      </c>
      <c r="O195" s="223"/>
      <c r="P195" s="27">
        <f>P187-P186</f>
        <v>23693582.600000001</v>
      </c>
      <c r="Q195" s="221"/>
      <c r="R195" s="27">
        <f>R187-R186</f>
        <v>21273203.800000004</v>
      </c>
      <c r="S195" s="221"/>
      <c r="T195" s="27">
        <f>T187-T186</f>
        <v>0</v>
      </c>
      <c r="U195" s="221"/>
      <c r="V195" s="27">
        <f>V187-V186</f>
        <v>44966786.400000006</v>
      </c>
      <c r="W195" s="221"/>
      <c r="X195" s="27">
        <f>X187-X186</f>
        <v>0</v>
      </c>
      <c r="Y195" s="221"/>
      <c r="Z195" s="27">
        <f>Z187-Z186</f>
        <v>0</v>
      </c>
      <c r="AA195" s="221"/>
      <c r="AB195" s="27">
        <f>AB187-AB186</f>
        <v>0</v>
      </c>
      <c r="AC195" s="221"/>
      <c r="AD195" s="27">
        <f>AD187-AD186</f>
        <v>0</v>
      </c>
      <c r="AE195" s="221"/>
      <c r="AF195" s="27">
        <f>AF187-AF186</f>
        <v>0</v>
      </c>
      <c r="AG195" s="221"/>
      <c r="AH195" s="27">
        <f>AH187-AH186</f>
        <v>0</v>
      </c>
      <c r="AI195" s="221"/>
      <c r="AJ195" s="27">
        <f>AJ187-AJ186</f>
        <v>0</v>
      </c>
      <c r="AK195" s="221"/>
      <c r="AL195" s="27">
        <f>AL187-AL186</f>
        <v>0</v>
      </c>
      <c r="AM195" s="221"/>
      <c r="AN195" s="27">
        <f>AN174-AN186</f>
        <v>144585642.85606062</v>
      </c>
      <c r="AO195" s="224"/>
      <c r="AP195" s="223"/>
      <c r="AS195" s="225"/>
    </row>
    <row r="196" spans="1:46" s="217" customFormat="1" ht="24" customHeight="1">
      <c r="C196" s="222"/>
      <c r="D196" s="222"/>
      <c r="E196" s="222"/>
      <c r="F196" s="1059"/>
      <c r="G196" s="220" t="s">
        <v>711</v>
      </c>
      <c r="H196" s="27">
        <f>H188-H186</f>
        <v>121184886.86016619</v>
      </c>
      <c r="I196" s="221"/>
      <c r="J196" s="27">
        <f>J188-J186</f>
        <v>112855115.84090908</v>
      </c>
      <c r="K196" s="221"/>
      <c r="L196" s="27">
        <f>L188-L186</f>
        <v>129074292.07272728</v>
      </c>
      <c r="M196" s="221"/>
      <c r="N196" s="27">
        <f>N188-N186</f>
        <v>363114294.77380258</v>
      </c>
      <c r="O196" s="223"/>
      <c r="P196" s="27">
        <f>P188-P186</f>
        <v>127451354.76666667</v>
      </c>
      <c r="Q196" s="221"/>
      <c r="R196" s="27">
        <f>R188-R186</f>
        <v>124480705.8</v>
      </c>
      <c r="S196" s="221"/>
      <c r="T196" s="27">
        <f>T188-T186</f>
        <v>0</v>
      </c>
      <c r="U196" s="221"/>
      <c r="V196" s="27">
        <f>V188-V186</f>
        <v>251932060.56666663</v>
      </c>
      <c r="W196" s="221"/>
      <c r="X196" s="27">
        <f>X188-X186</f>
        <v>0</v>
      </c>
      <c r="Y196" s="221"/>
      <c r="Z196" s="27">
        <f>Z188-Z186</f>
        <v>0</v>
      </c>
      <c r="AA196" s="221"/>
      <c r="AB196" s="27">
        <f>AB188-AB186</f>
        <v>0</v>
      </c>
      <c r="AC196" s="221"/>
      <c r="AD196" s="27">
        <f>AD188-AD186</f>
        <v>0</v>
      </c>
      <c r="AE196" s="221"/>
      <c r="AF196" s="27">
        <f>AF188-AF186</f>
        <v>0</v>
      </c>
      <c r="AG196" s="221"/>
      <c r="AH196" s="27">
        <f>AH188-AH186</f>
        <v>0</v>
      </c>
      <c r="AI196" s="221"/>
      <c r="AJ196" s="27">
        <f>AJ188-AJ186</f>
        <v>0</v>
      </c>
      <c r="AK196" s="221"/>
      <c r="AL196" s="27">
        <f>AL188-AL186</f>
        <v>0</v>
      </c>
      <c r="AM196" s="221"/>
      <c r="AN196" s="27">
        <f>AN188-AN186</f>
        <v>615046355.34046924</v>
      </c>
      <c r="AO196" s="224"/>
      <c r="AP196" s="223"/>
      <c r="AS196" s="225"/>
    </row>
    <row r="197" spans="1:46" s="217" customFormat="1" ht="24" customHeight="1">
      <c r="C197" s="222"/>
      <c r="D197" s="222"/>
      <c r="E197" s="222"/>
      <c r="F197" s="1059"/>
      <c r="G197" s="220" t="s">
        <v>598</v>
      </c>
      <c r="H197" s="27">
        <f>H189+H186</f>
        <v>-36355933.860166192</v>
      </c>
      <c r="I197" s="768">
        <f>H197/H$27</f>
        <v>-0.42857930664505778</v>
      </c>
      <c r="J197" s="27">
        <f>J189+J186</f>
        <v>-39092491.44090908</v>
      </c>
      <c r="K197" s="768">
        <f>J197/J$27</f>
        <v>-0.52997695999695316</v>
      </c>
      <c r="L197" s="27">
        <f>L189+L186</f>
        <v>-27414315.072727285</v>
      </c>
      <c r="M197" s="768">
        <f>L197/L$27</f>
        <v>-0.26966674478715735</v>
      </c>
      <c r="N197" s="27">
        <f>N189+N186</f>
        <v>-102862740.37380256</v>
      </c>
      <c r="O197" s="768">
        <f>N197/N$27</f>
        <v>-0.3952435197205591</v>
      </c>
      <c r="P197" s="27">
        <f>P189+P186</f>
        <v>-25372062.766666673</v>
      </c>
      <c r="Q197" s="768">
        <f>P197/P$27</f>
        <v>-0.24855249551169176</v>
      </c>
      <c r="R197" s="27">
        <f>R189+R186</f>
        <v>-32362435.800000004</v>
      </c>
      <c r="S197" s="768">
        <f>R197/R$27</f>
        <v>-0.35131397712961832</v>
      </c>
      <c r="T197" s="27">
        <f>T189+T186</f>
        <v>0</v>
      </c>
      <c r="U197" s="768" t="e">
        <f>T197/T$27</f>
        <v>#DIV/0!</v>
      </c>
      <c r="V197" s="27">
        <f>V189+V186</f>
        <v>-57734498.566666678</v>
      </c>
      <c r="W197" s="768">
        <f>V197/V$27</f>
        <v>-0.29729775169199435</v>
      </c>
      <c r="X197" s="27">
        <f>X189+X186</f>
        <v>0</v>
      </c>
      <c r="Y197" s="768" t="e">
        <f>X197/X$27</f>
        <v>#DIV/0!</v>
      </c>
      <c r="Z197" s="27">
        <f>Z189+Z186</f>
        <v>0</v>
      </c>
      <c r="AA197" s="768" t="e">
        <f>Z197/Z$27</f>
        <v>#DIV/0!</v>
      </c>
      <c r="AB197" s="27">
        <f>AB189+AB186</f>
        <v>0</v>
      </c>
      <c r="AC197" s="768" t="e">
        <f>AB197/AB$27</f>
        <v>#DIV/0!</v>
      </c>
      <c r="AD197" s="27">
        <f>AD189+AD186</f>
        <v>0</v>
      </c>
      <c r="AE197" s="768" t="e">
        <f>AD197/AD$27</f>
        <v>#DIV/0!</v>
      </c>
      <c r="AF197" s="27">
        <f>AF189+AF186</f>
        <v>0</v>
      </c>
      <c r="AG197" s="768" t="e">
        <f>AF197/AF$27</f>
        <v>#DIV/0!</v>
      </c>
      <c r="AH197" s="27">
        <f>AH189+AH186</f>
        <v>0</v>
      </c>
      <c r="AI197" s="768" t="e">
        <f>AH197/AH$27</f>
        <v>#DIV/0!</v>
      </c>
      <c r="AJ197" s="27">
        <f>AJ189+AJ186</f>
        <v>0</v>
      </c>
      <c r="AK197" s="768" t="e">
        <f>AJ197/AJ$27</f>
        <v>#DIV/0!</v>
      </c>
      <c r="AL197" s="27">
        <f>AL189+AL186</f>
        <v>0</v>
      </c>
      <c r="AM197" s="768" t="e">
        <f>AL197/AL$27</f>
        <v>#DIV/0!</v>
      </c>
      <c r="AN197" s="175">
        <f>AN189+AN186</f>
        <v>-160597238.94046924</v>
      </c>
      <c r="AO197" s="768">
        <f>AN197/$AN$27</f>
        <v>-0.35338882428173479</v>
      </c>
      <c r="AP197" s="223"/>
      <c r="AS197" s="225"/>
    </row>
    <row r="198" spans="1:46" s="217" customFormat="1" ht="24" hidden="1" customHeight="1">
      <c r="C198" s="222"/>
      <c r="D198" s="222"/>
      <c r="E198" s="222"/>
      <c r="G198" s="220"/>
      <c r="H198" s="27"/>
      <c r="I198" s="221"/>
      <c r="J198" s="27"/>
      <c r="K198" s="221"/>
      <c r="L198" s="27"/>
      <c r="M198" s="221"/>
      <c r="N198" s="27"/>
      <c r="O198" s="223"/>
      <c r="P198" s="27"/>
      <c r="Q198" s="221"/>
      <c r="R198" s="27"/>
      <c r="S198" s="221"/>
      <c r="T198" s="27"/>
      <c r="U198" s="221"/>
      <c r="V198" s="221"/>
      <c r="W198" s="221"/>
      <c r="X198" s="27"/>
      <c r="Y198" s="221"/>
      <c r="Z198" s="27"/>
      <c r="AA198" s="221"/>
      <c r="AB198" s="27"/>
      <c r="AC198" s="221"/>
      <c r="AD198" s="27"/>
      <c r="AE198" s="27"/>
      <c r="AF198" s="27"/>
      <c r="AG198" s="221"/>
      <c r="AH198" s="27"/>
      <c r="AI198" s="27"/>
      <c r="AJ198" s="27"/>
      <c r="AK198" s="9"/>
      <c r="AL198" s="27"/>
      <c r="AM198" s="223"/>
      <c r="AN198" s="221"/>
      <c r="AO198" s="224"/>
      <c r="AP198" s="223"/>
      <c r="AS198" s="225"/>
    </row>
    <row r="199" spans="1:46" s="217" customFormat="1" ht="24" hidden="1" customHeight="1">
      <c r="C199" s="222"/>
      <c r="D199" s="222"/>
      <c r="E199" s="222"/>
      <c r="G199" s="226" t="s">
        <v>600</v>
      </c>
      <c r="H199" s="227">
        <v>114097582</v>
      </c>
      <c r="I199" s="230"/>
      <c r="J199" s="227">
        <v>99889330</v>
      </c>
      <c r="K199" s="230"/>
      <c r="L199" s="227">
        <v>121154954</v>
      </c>
      <c r="M199" s="230"/>
      <c r="N199" s="228"/>
      <c r="O199" s="229"/>
      <c r="P199" s="227">
        <v>106735923</v>
      </c>
      <c r="Q199" s="230"/>
      <c r="R199" s="227">
        <v>94951229</v>
      </c>
      <c r="S199" s="229"/>
      <c r="T199" s="227"/>
      <c r="U199" s="229"/>
      <c r="V199" s="8"/>
      <c r="W199" s="8"/>
      <c r="X199" s="227"/>
      <c r="Y199" s="229"/>
      <c r="Z199" s="227"/>
      <c r="AA199" s="229"/>
      <c r="AB199" s="227"/>
      <c r="AC199" s="229"/>
      <c r="AD199" s="8"/>
      <c r="AE199" s="231"/>
      <c r="AF199" s="227"/>
      <c r="AG199" s="229"/>
      <c r="AH199" s="227"/>
      <c r="AI199" s="231"/>
      <c r="AJ199" s="227"/>
      <c r="AK199" s="9" t="s">
        <v>277</v>
      </c>
      <c r="AL199" s="231"/>
      <c r="AM199" s="229"/>
      <c r="AN199" s="232"/>
      <c r="AO199" s="9"/>
      <c r="AP199" s="229"/>
    </row>
    <row r="200" spans="1:46" ht="27" hidden="1">
      <c r="B200" s="233" t="s">
        <v>278</v>
      </c>
      <c r="G200" s="234" t="s">
        <v>279</v>
      </c>
      <c r="H200" s="235"/>
      <c r="I200" s="237"/>
      <c r="J200" s="235"/>
      <c r="K200" s="237"/>
      <c r="L200" s="236"/>
      <c r="M200" s="237"/>
      <c r="N200" s="10"/>
      <c r="O200" s="237"/>
      <c r="P200" s="236"/>
      <c r="Q200" s="237"/>
      <c r="R200" s="236"/>
      <c r="S200" s="237"/>
      <c r="T200" s="236"/>
      <c r="U200" s="237"/>
      <c r="V200" s="10"/>
      <c r="W200" s="10"/>
      <c r="X200" s="236"/>
      <c r="Y200" s="237"/>
      <c r="Z200" s="236"/>
      <c r="AA200" s="237"/>
      <c r="AB200" s="236"/>
      <c r="AC200" s="237"/>
      <c r="AD200" s="10"/>
      <c r="AE200" s="238"/>
      <c r="AF200" s="236"/>
      <c r="AG200" s="237"/>
      <c r="AH200" s="236"/>
      <c r="AI200" s="238"/>
      <c r="AJ200" s="236"/>
      <c r="AK200" s="10"/>
      <c r="AL200" s="238"/>
      <c r="AM200" s="237"/>
      <c r="AN200" s="238"/>
      <c r="AO200" s="10"/>
      <c r="AP200" s="237"/>
      <c r="AQ200" s="217"/>
    </row>
    <row r="201" spans="1:46" s="10" customFormat="1" ht="16.5" hidden="1" customHeight="1">
      <c r="B201" s="5"/>
      <c r="C201" s="6" t="s">
        <v>280</v>
      </c>
      <c r="D201" s="212"/>
      <c r="E201" s="212"/>
      <c r="F201" s="239" t="s">
        <v>281</v>
      </c>
      <c r="G201" s="226"/>
      <c r="H201" s="765"/>
      <c r="I201" s="241"/>
      <c r="J201" s="765"/>
      <c r="K201" s="241"/>
      <c r="L201" s="765"/>
      <c r="M201" s="241"/>
      <c r="N201" s="240"/>
      <c r="O201" s="241"/>
      <c r="P201" s="765"/>
      <c r="Q201" s="241"/>
      <c r="R201" s="765"/>
      <c r="S201" s="241"/>
      <c r="T201" s="765"/>
      <c r="U201" s="241"/>
      <c r="V201" s="240"/>
      <c r="W201" s="240"/>
      <c r="X201" s="765"/>
      <c r="Y201" s="241"/>
      <c r="Z201" s="765"/>
      <c r="AA201" s="241"/>
      <c r="AB201" s="765"/>
      <c r="AC201" s="241"/>
      <c r="AD201" s="240"/>
      <c r="AE201" s="240"/>
      <c r="AF201" s="765"/>
      <c r="AG201" s="241"/>
      <c r="AH201" s="765"/>
      <c r="AI201" s="83"/>
      <c r="AJ201" s="765"/>
      <c r="AK201" s="240"/>
      <c r="AL201" s="242"/>
      <c r="AM201" s="241"/>
      <c r="AN201" s="240"/>
      <c r="AO201" s="240"/>
      <c r="AP201" s="241"/>
      <c r="AQ201" s="9"/>
    </row>
    <row r="202" spans="1:46" s="10" customFormat="1" ht="16.5" hidden="1" customHeight="1">
      <c r="B202" s="5"/>
      <c r="C202" s="9" t="s">
        <v>282</v>
      </c>
      <c r="D202" s="5"/>
      <c r="E202" s="5"/>
      <c r="F202" s="239" t="s">
        <v>283</v>
      </c>
      <c r="G202" s="8"/>
      <c r="H202" s="420" t="s">
        <v>1</v>
      </c>
      <c r="I202" s="420"/>
      <c r="J202" s="420"/>
      <c r="K202" s="420"/>
      <c r="L202" s="420"/>
      <c r="M202" s="420"/>
      <c r="N202" s="420"/>
      <c r="O202" s="420"/>
      <c r="P202" s="420"/>
      <c r="Q202" s="420"/>
      <c r="R202" s="420"/>
      <c r="S202" s="420"/>
      <c r="T202" s="420"/>
      <c r="U202" s="420"/>
      <c r="V202" s="420"/>
      <c r="W202" s="420"/>
      <c r="X202" s="420"/>
      <c r="Y202" s="420"/>
      <c r="Z202" s="420"/>
      <c r="AA202" s="420"/>
      <c r="AB202" s="420"/>
      <c r="AC202" s="420"/>
      <c r="AD202" s="420"/>
      <c r="AE202" s="420"/>
      <c r="AF202" s="420"/>
      <c r="AG202" s="420"/>
      <c r="AH202" s="420"/>
      <c r="AI202" s="420"/>
      <c r="AJ202" s="420"/>
      <c r="AK202" s="420"/>
      <c r="AL202" s="420"/>
      <c r="AM202" s="420"/>
      <c r="AN202" s="420"/>
      <c r="AO202" s="241"/>
      <c r="AP202" s="9"/>
    </row>
    <row r="203" spans="1:46" s="5" customFormat="1" ht="20" hidden="1" customHeight="1">
      <c r="B203" s="104"/>
      <c r="C203" s="104" t="s">
        <v>2</v>
      </c>
      <c r="D203" s="104" t="s">
        <v>3</v>
      </c>
      <c r="E203" s="243" t="s">
        <v>4</v>
      </c>
      <c r="F203" s="104" t="s">
        <v>5</v>
      </c>
      <c r="G203" s="104" t="s">
        <v>6</v>
      </c>
      <c r="H203" s="104" t="s">
        <v>7</v>
      </c>
      <c r="I203" s="19"/>
      <c r="J203" s="104" t="s">
        <v>8</v>
      </c>
      <c r="K203" s="19"/>
      <c r="L203" s="104" t="s">
        <v>9</v>
      </c>
      <c r="M203" s="19"/>
      <c r="N203" s="244" t="s">
        <v>10</v>
      </c>
      <c r="O203" s="19"/>
      <c r="P203" s="104" t="s">
        <v>12</v>
      </c>
      <c r="Q203" s="19"/>
      <c r="R203" s="104" t="s">
        <v>341</v>
      </c>
      <c r="S203" s="19"/>
      <c r="T203" s="104" t="s">
        <v>342</v>
      </c>
      <c r="U203" s="19"/>
      <c r="V203" s="244" t="s">
        <v>461</v>
      </c>
      <c r="W203" s="19"/>
      <c r="X203" s="104" t="s">
        <v>344</v>
      </c>
      <c r="Y203" s="19"/>
      <c r="Z203" s="104" t="s">
        <v>345</v>
      </c>
      <c r="AA203" s="19"/>
      <c r="AB203" s="104" t="s">
        <v>346</v>
      </c>
      <c r="AC203" s="19"/>
      <c r="AD203" s="244" t="s">
        <v>460</v>
      </c>
      <c r="AE203" s="19"/>
      <c r="AF203" s="104" t="s">
        <v>347</v>
      </c>
      <c r="AG203" s="19"/>
      <c r="AH203" s="104" t="s">
        <v>348</v>
      </c>
      <c r="AI203" s="19"/>
      <c r="AJ203" s="104" t="s">
        <v>32</v>
      </c>
      <c r="AK203" s="19"/>
      <c r="AL203" s="244" t="s">
        <v>459</v>
      </c>
      <c r="AM203" s="19"/>
      <c r="AN203" s="244" t="s">
        <v>463</v>
      </c>
      <c r="AO203" s="19"/>
    </row>
    <row r="204" spans="1:46" s="10" customFormat="1" ht="18" hidden="1" customHeight="1">
      <c r="A204" s="5"/>
      <c r="B204" s="86"/>
      <c r="C204" s="86" t="s">
        <v>284</v>
      </c>
      <c r="D204" s="717" t="s">
        <v>595</v>
      </c>
      <c r="E204" s="766" t="s">
        <v>595</v>
      </c>
      <c r="F204" s="135" t="s">
        <v>586</v>
      </c>
      <c r="G204" s="245" t="s">
        <v>596</v>
      </c>
      <c r="H204" s="246">
        <v>9000000</v>
      </c>
      <c r="I204" s="241"/>
      <c r="J204" s="246"/>
      <c r="K204" s="241"/>
      <c r="L204" s="246"/>
      <c r="M204" s="241"/>
      <c r="N204" s="247">
        <f t="shared" ref="N204:N212" si="96">SUM(H204,J204,L204)</f>
        <v>9000000</v>
      </c>
      <c r="O204" s="241"/>
      <c r="P204" s="246"/>
      <c r="Q204" s="241"/>
      <c r="R204" s="246"/>
      <c r="S204" s="241"/>
      <c r="T204" s="246"/>
      <c r="U204" s="241"/>
      <c r="V204" s="247">
        <f t="shared" ref="V204:V212" si="97">SUM(P204,R204,T204)</f>
        <v>0</v>
      </c>
      <c r="W204" s="241"/>
      <c r="X204" s="246"/>
      <c r="Y204" s="241"/>
      <c r="Z204" s="246"/>
      <c r="AA204" s="241"/>
      <c r="AB204" s="246"/>
      <c r="AC204" s="241"/>
      <c r="AD204" s="247">
        <f t="shared" ref="AD204:AD212" si="98">SUM(X204,Z204,AB204)</f>
        <v>0</v>
      </c>
      <c r="AE204" s="241"/>
      <c r="AF204" s="246"/>
      <c r="AG204" s="241"/>
      <c r="AH204" s="246"/>
      <c r="AI204" s="241"/>
      <c r="AJ204" s="246"/>
      <c r="AK204" s="241"/>
      <c r="AL204" s="247">
        <f t="shared" ref="AL204:AL212" si="99">SUM(AF204,AH204,AJ204)</f>
        <v>0</v>
      </c>
      <c r="AM204" s="241"/>
      <c r="AN204" s="248">
        <f t="shared" ref="AN204:AN213" si="100">SUM(AD204,V204,N204+AL204)</f>
        <v>9000000</v>
      </c>
      <c r="AO204" s="241"/>
      <c r="AP204" s="28"/>
      <c r="AQ204" s="28"/>
      <c r="AR204" s="28"/>
      <c r="AS204" s="28"/>
      <c r="AT204" s="28"/>
    </row>
    <row r="205" spans="1:46" s="10" customFormat="1" ht="18" hidden="1" customHeight="1">
      <c r="A205" s="5"/>
      <c r="B205" s="86"/>
      <c r="C205" s="86" t="s">
        <v>284</v>
      </c>
      <c r="D205" s="1032" t="s">
        <v>231</v>
      </c>
      <c r="E205" s="1032" t="s">
        <v>236</v>
      </c>
      <c r="F205" s="135" t="s">
        <v>285</v>
      </c>
      <c r="G205" s="245" t="s">
        <v>286</v>
      </c>
      <c r="H205" s="246">
        <v>160000</v>
      </c>
      <c r="I205" s="241"/>
      <c r="J205" s="246">
        <f>5550000+1800000+40000</f>
        <v>7390000</v>
      </c>
      <c r="K205" s="241"/>
      <c r="L205" s="246"/>
      <c r="M205" s="241"/>
      <c r="N205" s="247">
        <f t="shared" si="96"/>
        <v>7550000</v>
      </c>
      <c r="O205" s="241"/>
      <c r="P205" s="246"/>
      <c r="Q205" s="241"/>
      <c r="R205" s="246"/>
      <c r="S205" s="241"/>
      <c r="T205" s="246"/>
      <c r="U205" s="241"/>
      <c r="V205" s="247">
        <f t="shared" si="97"/>
        <v>0</v>
      </c>
      <c r="W205" s="241"/>
      <c r="X205" s="246"/>
      <c r="Y205" s="241"/>
      <c r="Z205" s="246"/>
      <c r="AA205" s="241"/>
      <c r="AB205" s="246"/>
      <c r="AC205" s="241"/>
      <c r="AD205" s="247">
        <f t="shared" si="98"/>
        <v>0</v>
      </c>
      <c r="AE205" s="241"/>
      <c r="AF205" s="246"/>
      <c r="AG205" s="241"/>
      <c r="AH205" s="246"/>
      <c r="AI205" s="241"/>
      <c r="AJ205" s="246"/>
      <c r="AK205" s="241"/>
      <c r="AL205" s="247">
        <f t="shared" si="99"/>
        <v>0</v>
      </c>
      <c r="AM205" s="241"/>
      <c r="AN205" s="248">
        <f>SUM(AD205,V205,N205+AL205)</f>
        <v>7550000</v>
      </c>
      <c r="AO205" s="241"/>
      <c r="AP205" s="28"/>
      <c r="AQ205" s="28"/>
      <c r="AR205" s="28"/>
      <c r="AS205" s="28"/>
      <c r="AT205" s="28"/>
    </row>
    <row r="206" spans="1:46" s="10" customFormat="1" ht="18" hidden="1" customHeight="1">
      <c r="A206" s="5"/>
      <c r="B206" s="86"/>
      <c r="C206" s="86" t="s">
        <v>284</v>
      </c>
      <c r="D206" s="1033"/>
      <c r="E206" s="1034"/>
      <c r="F206" s="135" t="s">
        <v>287</v>
      </c>
      <c r="G206" s="245" t="s">
        <v>288</v>
      </c>
      <c r="H206" s="246"/>
      <c r="I206" s="241"/>
      <c r="J206" s="246"/>
      <c r="K206" s="241"/>
      <c r="L206" s="246"/>
      <c r="M206" s="241"/>
      <c r="N206" s="247">
        <f t="shared" si="96"/>
        <v>0</v>
      </c>
      <c r="O206" s="241"/>
      <c r="P206" s="246"/>
      <c r="Q206" s="241"/>
      <c r="R206" s="246"/>
      <c r="S206" s="241"/>
      <c r="T206" s="246"/>
      <c r="U206" s="241"/>
      <c r="V206" s="247">
        <f t="shared" si="97"/>
        <v>0</v>
      </c>
      <c r="W206" s="241"/>
      <c r="X206" s="246"/>
      <c r="Y206" s="241"/>
      <c r="Z206" s="246"/>
      <c r="AA206" s="241"/>
      <c r="AB206" s="246"/>
      <c r="AC206" s="241"/>
      <c r="AD206" s="247">
        <f t="shared" si="98"/>
        <v>0</v>
      </c>
      <c r="AE206" s="241"/>
      <c r="AF206" s="246"/>
      <c r="AG206" s="241"/>
      <c r="AH206" s="246"/>
      <c r="AI206" s="241"/>
      <c r="AJ206" s="246"/>
      <c r="AK206" s="241"/>
      <c r="AL206" s="247">
        <f t="shared" si="99"/>
        <v>0</v>
      </c>
      <c r="AM206" s="241"/>
      <c r="AN206" s="248">
        <f t="shared" si="100"/>
        <v>0</v>
      </c>
      <c r="AO206" s="241"/>
      <c r="AP206" s="28"/>
      <c r="AQ206" s="28"/>
      <c r="AR206" s="28"/>
      <c r="AS206" s="28"/>
      <c r="AT206" s="28"/>
    </row>
    <row r="207" spans="1:46" s="10" customFormat="1" ht="18" hidden="1" customHeight="1">
      <c r="A207" s="5"/>
      <c r="B207" s="86"/>
      <c r="C207" s="86" t="s">
        <v>284</v>
      </c>
      <c r="D207" s="1033"/>
      <c r="E207" s="1033" t="s">
        <v>520</v>
      </c>
      <c r="F207" s="135" t="s">
        <v>289</v>
      </c>
      <c r="G207" s="245" t="s">
        <v>290</v>
      </c>
      <c r="H207" s="246"/>
      <c r="I207" s="241"/>
      <c r="J207" s="246"/>
      <c r="K207" s="241"/>
      <c r="L207" s="246"/>
      <c r="M207" s="241"/>
      <c r="N207" s="247">
        <f t="shared" si="96"/>
        <v>0</v>
      </c>
      <c r="O207" s="241"/>
      <c r="P207" s="246"/>
      <c r="Q207" s="241"/>
      <c r="R207" s="246"/>
      <c r="S207" s="241"/>
      <c r="T207" s="246"/>
      <c r="U207" s="241"/>
      <c r="V207" s="247">
        <f t="shared" si="97"/>
        <v>0</v>
      </c>
      <c r="W207" s="241"/>
      <c r="X207" s="246"/>
      <c r="Y207" s="241"/>
      <c r="Z207" s="246"/>
      <c r="AA207" s="241"/>
      <c r="AB207" s="246"/>
      <c r="AC207" s="241"/>
      <c r="AD207" s="247">
        <f t="shared" si="98"/>
        <v>0</v>
      </c>
      <c r="AE207" s="241"/>
      <c r="AF207" s="246"/>
      <c r="AG207" s="241"/>
      <c r="AH207" s="246"/>
      <c r="AI207" s="241"/>
      <c r="AJ207" s="246"/>
      <c r="AK207" s="241"/>
      <c r="AL207" s="247">
        <f t="shared" si="99"/>
        <v>0</v>
      </c>
      <c r="AM207" s="241"/>
      <c r="AN207" s="248">
        <f t="shared" si="100"/>
        <v>0</v>
      </c>
      <c r="AO207" s="241"/>
      <c r="AP207" s="28"/>
      <c r="AQ207" s="28"/>
      <c r="AR207" s="28"/>
      <c r="AS207" s="28"/>
      <c r="AT207" s="28"/>
    </row>
    <row r="208" spans="1:46" s="10" customFormat="1" ht="18" hidden="1" customHeight="1">
      <c r="A208" s="5"/>
      <c r="B208" s="86"/>
      <c r="C208" s="86" t="s">
        <v>284</v>
      </c>
      <c r="D208" s="1033"/>
      <c r="E208" s="1034"/>
      <c r="F208" s="135" t="s">
        <v>291</v>
      </c>
      <c r="G208" s="245" t="s">
        <v>292</v>
      </c>
      <c r="H208" s="246"/>
      <c r="I208" s="241"/>
      <c r="J208" s="246"/>
      <c r="K208" s="241"/>
      <c r="L208" s="246"/>
      <c r="M208" s="241"/>
      <c r="N208" s="247">
        <f t="shared" si="96"/>
        <v>0</v>
      </c>
      <c r="O208" s="241"/>
      <c r="P208" s="246"/>
      <c r="Q208" s="241"/>
      <c r="R208" s="246"/>
      <c r="S208" s="241"/>
      <c r="T208" s="246"/>
      <c r="U208" s="241"/>
      <c r="V208" s="247">
        <f t="shared" si="97"/>
        <v>0</v>
      </c>
      <c r="W208" s="241"/>
      <c r="X208" s="246"/>
      <c r="Y208" s="241"/>
      <c r="Z208" s="246"/>
      <c r="AA208" s="241"/>
      <c r="AB208" s="246"/>
      <c r="AC208" s="241"/>
      <c r="AD208" s="247">
        <f t="shared" si="98"/>
        <v>0</v>
      </c>
      <c r="AE208" s="241"/>
      <c r="AF208" s="246"/>
      <c r="AG208" s="241"/>
      <c r="AH208" s="246"/>
      <c r="AI208" s="241"/>
      <c r="AJ208" s="246"/>
      <c r="AK208" s="241"/>
      <c r="AL208" s="247">
        <f t="shared" si="99"/>
        <v>0</v>
      </c>
      <c r="AM208" s="241"/>
      <c r="AN208" s="248">
        <f t="shared" si="100"/>
        <v>0</v>
      </c>
      <c r="AO208" s="241"/>
      <c r="AP208" s="28"/>
      <c r="AQ208" s="28"/>
      <c r="AR208" s="28"/>
      <c r="AS208" s="28"/>
      <c r="AT208" s="28"/>
    </row>
    <row r="209" spans="1:46" s="10" customFormat="1" ht="18" hidden="1" customHeight="1">
      <c r="A209" s="5"/>
      <c r="B209" s="86"/>
      <c r="C209" s="86" t="s">
        <v>284</v>
      </c>
      <c r="D209" s="1033"/>
      <c r="E209" s="1032" t="s">
        <v>233</v>
      </c>
      <c r="F209" s="135" t="s">
        <v>293</v>
      </c>
      <c r="G209" s="245" t="s">
        <v>294</v>
      </c>
      <c r="H209" s="246"/>
      <c r="I209" s="241"/>
      <c r="J209" s="246"/>
      <c r="K209" s="241"/>
      <c r="L209" s="246"/>
      <c r="M209" s="241"/>
      <c r="N209" s="247">
        <f t="shared" si="96"/>
        <v>0</v>
      </c>
      <c r="O209" s="241"/>
      <c r="P209" s="246"/>
      <c r="Q209" s="241"/>
      <c r="R209" s="246"/>
      <c r="S209" s="241"/>
      <c r="T209" s="246"/>
      <c r="U209" s="241"/>
      <c r="V209" s="247">
        <f t="shared" si="97"/>
        <v>0</v>
      </c>
      <c r="W209" s="241"/>
      <c r="X209" s="246"/>
      <c r="Y209" s="241"/>
      <c r="Z209" s="246"/>
      <c r="AA209" s="241"/>
      <c r="AB209" s="246"/>
      <c r="AC209" s="241"/>
      <c r="AD209" s="247">
        <f t="shared" si="98"/>
        <v>0</v>
      </c>
      <c r="AE209" s="241"/>
      <c r="AF209" s="246"/>
      <c r="AG209" s="241"/>
      <c r="AH209" s="246"/>
      <c r="AI209" s="241"/>
      <c r="AJ209" s="246"/>
      <c r="AK209" s="241"/>
      <c r="AL209" s="247">
        <f t="shared" si="99"/>
        <v>0</v>
      </c>
      <c r="AM209" s="241"/>
      <c r="AN209" s="248">
        <f t="shared" si="100"/>
        <v>0</v>
      </c>
      <c r="AO209" s="241"/>
      <c r="AP209" s="28"/>
      <c r="AQ209" s="28"/>
      <c r="AR209" s="28"/>
      <c r="AS209" s="28"/>
      <c r="AT209" s="28"/>
    </row>
    <row r="210" spans="1:46" s="10" customFormat="1" ht="18" hidden="1" customHeight="1">
      <c r="A210" s="5"/>
      <c r="B210" s="86"/>
      <c r="C210" s="86" t="s">
        <v>284</v>
      </c>
      <c r="D210" s="1033"/>
      <c r="E210" s="1034"/>
      <c r="F210" s="135" t="s">
        <v>295</v>
      </c>
      <c r="G210" s="245" t="s">
        <v>296</v>
      </c>
      <c r="H210" s="246"/>
      <c r="I210" s="241"/>
      <c r="J210" s="246"/>
      <c r="K210" s="241"/>
      <c r="L210" s="246"/>
      <c r="M210" s="241"/>
      <c r="N210" s="247">
        <f t="shared" si="96"/>
        <v>0</v>
      </c>
      <c r="O210" s="241"/>
      <c r="P210" s="246"/>
      <c r="Q210" s="241"/>
      <c r="R210" s="246"/>
      <c r="S210" s="241"/>
      <c r="T210" s="246"/>
      <c r="U210" s="241"/>
      <c r="V210" s="247">
        <f t="shared" si="97"/>
        <v>0</v>
      </c>
      <c r="W210" s="241"/>
      <c r="X210" s="246"/>
      <c r="Y210" s="241"/>
      <c r="Z210" s="246"/>
      <c r="AA210" s="241"/>
      <c r="AB210" s="246"/>
      <c r="AC210" s="241"/>
      <c r="AD210" s="247">
        <f t="shared" si="98"/>
        <v>0</v>
      </c>
      <c r="AE210" s="241"/>
      <c r="AF210" s="246"/>
      <c r="AG210" s="241"/>
      <c r="AH210" s="246"/>
      <c r="AI210" s="241"/>
      <c r="AJ210" s="246"/>
      <c r="AK210" s="241"/>
      <c r="AL210" s="247">
        <f t="shared" si="99"/>
        <v>0</v>
      </c>
      <c r="AM210" s="241"/>
      <c r="AN210" s="248">
        <f t="shared" si="100"/>
        <v>0</v>
      </c>
      <c r="AO210" s="241"/>
      <c r="AP210" s="28"/>
      <c r="AQ210" s="28"/>
      <c r="AR210" s="28"/>
      <c r="AS210" s="28"/>
      <c r="AT210" s="28"/>
    </row>
    <row r="211" spans="1:46" s="10" customFormat="1" ht="18" hidden="1" customHeight="1">
      <c r="A211" s="5"/>
      <c r="B211" s="86"/>
      <c r="C211" s="86" t="s">
        <v>284</v>
      </c>
      <c r="D211" s="1032" t="s">
        <v>238</v>
      </c>
      <c r="E211" s="1032" t="s">
        <v>297</v>
      </c>
      <c r="F211" s="135" t="s">
        <v>209</v>
      </c>
      <c r="G211" s="245" t="s">
        <v>298</v>
      </c>
      <c r="H211" s="246"/>
      <c r="I211" s="241"/>
      <c r="J211" s="246"/>
      <c r="K211" s="241"/>
      <c r="L211" s="246"/>
      <c r="M211" s="241"/>
      <c r="N211" s="247">
        <f t="shared" si="96"/>
        <v>0</v>
      </c>
      <c r="O211" s="241"/>
      <c r="P211" s="246"/>
      <c r="Q211" s="241"/>
      <c r="R211" s="246"/>
      <c r="S211" s="241"/>
      <c r="T211" s="246"/>
      <c r="U211" s="241"/>
      <c r="V211" s="247">
        <f t="shared" si="97"/>
        <v>0</v>
      </c>
      <c r="W211" s="241"/>
      <c r="X211" s="246"/>
      <c r="Y211" s="241"/>
      <c r="Z211" s="246"/>
      <c r="AA211" s="241"/>
      <c r="AB211" s="246"/>
      <c r="AC211" s="241"/>
      <c r="AD211" s="247">
        <f t="shared" si="98"/>
        <v>0</v>
      </c>
      <c r="AE211" s="241"/>
      <c r="AF211" s="246"/>
      <c r="AG211" s="241"/>
      <c r="AH211" s="246"/>
      <c r="AI211" s="241"/>
      <c r="AJ211" s="246"/>
      <c r="AK211" s="241"/>
      <c r="AL211" s="247">
        <f t="shared" si="99"/>
        <v>0</v>
      </c>
      <c r="AM211" s="241"/>
      <c r="AN211" s="248">
        <f t="shared" si="100"/>
        <v>0</v>
      </c>
      <c r="AO211" s="241"/>
      <c r="AP211" s="28"/>
      <c r="AQ211" s="28"/>
      <c r="AR211" s="28"/>
      <c r="AS211" s="28"/>
      <c r="AT211" s="28"/>
    </row>
    <row r="212" spans="1:46" s="10" customFormat="1" ht="18" hidden="1" customHeight="1" thickBot="1">
      <c r="A212" s="5"/>
      <c r="B212" s="86"/>
      <c r="C212" s="86" t="s">
        <v>284</v>
      </c>
      <c r="D212" s="1034"/>
      <c r="E212" s="1034"/>
      <c r="F212" s="135" t="s">
        <v>209</v>
      </c>
      <c r="G212" s="245" t="s">
        <v>299</v>
      </c>
      <c r="H212" s="246"/>
      <c r="I212" s="241"/>
      <c r="J212" s="246"/>
      <c r="K212" s="241"/>
      <c r="L212" s="246"/>
      <c r="M212" s="241"/>
      <c r="N212" s="247">
        <f t="shared" si="96"/>
        <v>0</v>
      </c>
      <c r="O212" s="241"/>
      <c r="P212" s="246"/>
      <c r="Q212" s="241"/>
      <c r="R212" s="246"/>
      <c r="S212" s="241"/>
      <c r="T212" s="246"/>
      <c r="U212" s="241"/>
      <c r="V212" s="247">
        <f t="shared" si="97"/>
        <v>0</v>
      </c>
      <c r="W212" s="241"/>
      <c r="X212" s="246"/>
      <c r="Y212" s="241"/>
      <c r="Z212" s="246"/>
      <c r="AA212" s="241"/>
      <c r="AB212" s="246"/>
      <c r="AC212" s="241"/>
      <c r="AD212" s="247">
        <f t="shared" si="98"/>
        <v>0</v>
      </c>
      <c r="AE212" s="241"/>
      <c r="AF212" s="246"/>
      <c r="AG212" s="241"/>
      <c r="AH212" s="246"/>
      <c r="AI212" s="241"/>
      <c r="AJ212" s="246"/>
      <c r="AK212" s="241"/>
      <c r="AL212" s="247">
        <f t="shared" si="99"/>
        <v>0</v>
      </c>
      <c r="AM212" s="241"/>
      <c r="AN212" s="248">
        <f t="shared" si="100"/>
        <v>0</v>
      </c>
      <c r="AO212" s="241"/>
      <c r="AP212" s="28"/>
      <c r="AQ212" s="28"/>
      <c r="AR212" s="28"/>
      <c r="AS212" s="28"/>
      <c r="AT212" s="28"/>
    </row>
    <row r="213" spans="1:46" s="10" customFormat="1" ht="20" hidden="1" customHeight="1" thickBot="1">
      <c r="B213" s="1050" t="s">
        <v>300</v>
      </c>
      <c r="C213" s="1051"/>
      <c r="D213" s="1051"/>
      <c r="E213" s="1051"/>
      <c r="F213" s="1051"/>
      <c r="G213" s="1052"/>
      <c r="H213" s="249">
        <f>SUM(H204:H212)</f>
        <v>9160000</v>
      </c>
      <c r="I213" s="241"/>
      <c r="J213" s="249">
        <f>SUM(J204:J212)</f>
        <v>7390000</v>
      </c>
      <c r="K213" s="241"/>
      <c r="L213" s="249">
        <f>SUM(L204:L212)</f>
        <v>0</v>
      </c>
      <c r="M213" s="241"/>
      <c r="N213" s="249">
        <f t="shared" ref="N213" si="101">SUM(H213:L213)</f>
        <v>16550000</v>
      </c>
      <c r="O213" s="241"/>
      <c r="P213" s="249">
        <f>SUM(P204:P212)</f>
        <v>0</v>
      </c>
      <c r="Q213" s="241"/>
      <c r="R213" s="249">
        <f>SUM(R204:R212)</f>
        <v>0</v>
      </c>
      <c r="S213" s="241"/>
      <c r="T213" s="249">
        <f>SUM(T204:T212)</f>
        <v>0</v>
      </c>
      <c r="U213" s="241"/>
      <c r="V213" s="249">
        <f t="shared" ref="V213" si="102">SUM(P213:T213)</f>
        <v>0</v>
      </c>
      <c r="W213" s="241"/>
      <c r="X213" s="249">
        <f>SUM(X204:X212)</f>
        <v>0</v>
      </c>
      <c r="Y213" s="241"/>
      <c r="Z213" s="249">
        <f>SUM(Z204:Z212)</f>
        <v>0</v>
      </c>
      <c r="AA213" s="241"/>
      <c r="AB213" s="249">
        <f>SUM(AB204:AB212)</f>
        <v>0</v>
      </c>
      <c r="AC213" s="241"/>
      <c r="AD213" s="249">
        <f t="shared" ref="AD213" si="103">SUM(X213:AB213)</f>
        <v>0</v>
      </c>
      <c r="AE213" s="241"/>
      <c r="AF213" s="249">
        <f>SUM(AF204:AF212)</f>
        <v>0</v>
      </c>
      <c r="AG213" s="241"/>
      <c r="AH213" s="249">
        <f>SUM(AH204:AH212)</f>
        <v>0</v>
      </c>
      <c r="AI213" s="241"/>
      <c r="AJ213" s="249">
        <f>SUM(AJ204:AJ212)</f>
        <v>0</v>
      </c>
      <c r="AK213" s="241"/>
      <c r="AL213" s="250">
        <f>SUM(AF213:AJ213)</f>
        <v>0</v>
      </c>
      <c r="AM213" s="241"/>
      <c r="AN213" s="251">
        <f t="shared" si="100"/>
        <v>16550000</v>
      </c>
      <c r="AO213" s="241"/>
      <c r="AP213" s="28"/>
      <c r="AQ213" s="28"/>
      <c r="AR213" s="28"/>
      <c r="AS213" s="28"/>
    </row>
    <row r="214" spans="1:46" hidden="1">
      <c r="I214" s="241"/>
      <c r="K214" s="241"/>
      <c r="M214" s="241"/>
      <c r="O214" s="241"/>
      <c r="Q214" s="241"/>
      <c r="S214" s="241"/>
      <c r="U214" s="241"/>
      <c r="W214" s="241"/>
      <c r="Y214" s="241"/>
      <c r="AA214" s="241"/>
      <c r="AC214" s="241"/>
      <c r="AE214" s="241"/>
      <c r="AG214" s="241"/>
      <c r="AI214" s="241"/>
      <c r="AK214" s="241"/>
      <c r="AL214" s="211"/>
      <c r="AM214" s="241"/>
      <c r="AN214" s="252"/>
      <c r="AO214" s="241"/>
    </row>
    <row r="215" spans="1:46" ht="18" hidden="1" thickBot="1">
      <c r="F215" s="253"/>
      <c r="H215" s="254" t="s">
        <v>301</v>
      </c>
      <c r="I215" s="241"/>
      <c r="J215" s="254"/>
      <c r="K215" s="241"/>
      <c r="M215" s="241"/>
      <c r="O215" s="241"/>
      <c r="Q215" s="241"/>
      <c r="S215" s="241"/>
      <c r="U215" s="241"/>
      <c r="W215" s="241"/>
      <c r="Y215" s="241"/>
      <c r="AA215" s="241"/>
      <c r="AC215" s="241"/>
      <c r="AE215" s="241"/>
      <c r="AG215" s="241"/>
      <c r="AI215" s="241"/>
      <c r="AK215" s="241"/>
      <c r="AL215" s="211"/>
      <c r="AM215" s="241"/>
      <c r="AN215" s="252"/>
      <c r="AO215" s="241"/>
    </row>
    <row r="216" spans="1:46" s="5" customFormat="1" ht="20" hidden="1" customHeight="1" thickBot="1">
      <c r="B216" s="11"/>
      <c r="C216" s="11" t="s">
        <v>2</v>
      </c>
      <c r="D216" s="11" t="s">
        <v>3</v>
      </c>
      <c r="E216" s="12" t="s">
        <v>4</v>
      </c>
      <c r="F216" s="12" t="s">
        <v>5</v>
      </c>
      <c r="G216" s="13" t="s">
        <v>6</v>
      </c>
      <c r="H216" s="16" t="s">
        <v>7</v>
      </c>
      <c r="I216" s="241"/>
      <c r="J216" s="16" t="s">
        <v>8</v>
      </c>
      <c r="K216" s="241"/>
      <c r="L216" s="14" t="s">
        <v>9</v>
      </c>
      <c r="M216" s="241"/>
      <c r="N216" s="18" t="s">
        <v>10</v>
      </c>
      <c r="O216" s="241"/>
      <c r="P216" s="14" t="s">
        <v>12</v>
      </c>
      <c r="Q216" s="241"/>
      <c r="R216" s="14" t="s">
        <v>341</v>
      </c>
      <c r="S216" s="241"/>
      <c r="T216" s="14" t="s">
        <v>342</v>
      </c>
      <c r="U216" s="241"/>
      <c r="V216" s="18" t="s">
        <v>18</v>
      </c>
      <c r="W216" s="241"/>
      <c r="X216" s="14" t="s">
        <v>344</v>
      </c>
      <c r="Y216" s="241"/>
      <c r="Z216" s="14" t="s">
        <v>345</v>
      </c>
      <c r="AA216" s="241"/>
      <c r="AB216" s="14" t="s">
        <v>346</v>
      </c>
      <c r="AC216" s="241"/>
      <c r="AD216" s="18" t="s">
        <v>26</v>
      </c>
      <c r="AE216" s="241"/>
      <c r="AF216" s="14" t="s">
        <v>347</v>
      </c>
      <c r="AG216" s="241"/>
      <c r="AH216" s="14" t="s">
        <v>348</v>
      </c>
      <c r="AI216" s="241"/>
      <c r="AJ216" s="14" t="s">
        <v>32</v>
      </c>
      <c r="AK216" s="241"/>
      <c r="AL216" s="18" t="s">
        <v>34</v>
      </c>
      <c r="AM216" s="241"/>
      <c r="AN216" s="255" t="s">
        <v>462</v>
      </c>
      <c r="AO216" s="241"/>
      <c r="AP216" s="19"/>
    </row>
    <row r="217" spans="1:46" s="10" customFormat="1" ht="18" hidden="1" customHeight="1" thickTop="1">
      <c r="B217" s="86">
        <v>1</v>
      </c>
      <c r="C217" s="771" t="s">
        <v>302</v>
      </c>
      <c r="D217" s="769" t="s">
        <v>231</v>
      </c>
      <c r="E217" s="771" t="s">
        <v>302</v>
      </c>
      <c r="F217" s="256" t="s">
        <v>303</v>
      </c>
      <c r="G217" s="257" t="s">
        <v>645</v>
      </c>
      <c r="H217" s="415"/>
      <c r="I217" s="71"/>
      <c r="J217" s="415">
        <v>8985000</v>
      </c>
      <c r="K217" s="71"/>
      <c r="L217" s="416"/>
      <c r="M217" s="71"/>
      <c r="N217" s="91">
        <f t="shared" ref="N217:N225" si="104">SUM(H217,J217,L217)</f>
        <v>8985000</v>
      </c>
      <c r="O217" s="71"/>
      <c r="P217" s="416"/>
      <c r="Q217" s="71"/>
      <c r="R217" s="416"/>
      <c r="S217" s="71"/>
      <c r="T217" s="416"/>
      <c r="U217" s="71"/>
      <c r="V217" s="102">
        <f t="shared" ref="V217:V227" si="105">SUM(P217,R217,T217)</f>
        <v>0</v>
      </c>
      <c r="W217" s="71"/>
      <c r="X217" s="416"/>
      <c r="Y217" s="71"/>
      <c r="Z217" s="416"/>
      <c r="AA217" s="71"/>
      <c r="AB217" s="416"/>
      <c r="AC217" s="71"/>
      <c r="AD217" s="91">
        <f t="shared" ref="AD217:AD227" si="106">SUM(X217,Z217,AB217)</f>
        <v>0</v>
      </c>
      <c r="AE217" s="71"/>
      <c r="AF217" s="416"/>
      <c r="AG217" s="71"/>
      <c r="AH217" s="416"/>
      <c r="AI217" s="71"/>
      <c r="AJ217" s="416"/>
      <c r="AK217" s="71"/>
      <c r="AL217" s="91">
        <f t="shared" ref="AL217:AL227" si="107">SUM(AF217,AH217,AJ217)</f>
        <v>0</v>
      </c>
      <c r="AM217" s="71"/>
      <c r="AN217" s="258">
        <f>SUM(AD217,V217,N217+AL217)</f>
        <v>8985000</v>
      </c>
      <c r="AO217" s="71"/>
      <c r="AP217" s="28"/>
      <c r="AQ217" s="28"/>
    </row>
    <row r="218" spans="1:46" s="10" customFormat="1" ht="18" hidden="1" customHeight="1">
      <c r="B218" s="86">
        <v>2</v>
      </c>
      <c r="C218" s="432" t="s">
        <v>704</v>
      </c>
      <c r="D218" s="863" t="s">
        <v>705</v>
      </c>
      <c r="E218" s="432" t="s">
        <v>704</v>
      </c>
      <c r="F218" s="256" t="s">
        <v>305</v>
      </c>
      <c r="G218" s="257" t="s">
        <v>644</v>
      </c>
      <c r="H218" s="415"/>
      <c r="I218" s="71"/>
      <c r="J218" s="415"/>
      <c r="K218" s="71"/>
      <c r="L218" s="416"/>
      <c r="M218" s="71"/>
      <c r="N218" s="91">
        <f t="shared" si="104"/>
        <v>0</v>
      </c>
      <c r="O218" s="71"/>
      <c r="P218" s="416"/>
      <c r="Q218" s="71"/>
      <c r="R218" s="416"/>
      <c r="S218" s="71"/>
      <c r="T218" s="416"/>
      <c r="U218" s="71"/>
      <c r="V218" s="102">
        <f t="shared" si="105"/>
        <v>0</v>
      </c>
      <c r="W218" s="71"/>
      <c r="X218" s="416"/>
      <c r="Y218" s="71"/>
      <c r="Z218" s="416"/>
      <c r="AA218" s="71"/>
      <c r="AB218" s="416"/>
      <c r="AC218" s="71"/>
      <c r="AD218" s="91">
        <f t="shared" si="106"/>
        <v>0</v>
      </c>
      <c r="AE218" s="71"/>
      <c r="AF218" s="416"/>
      <c r="AG218" s="71"/>
      <c r="AH218" s="416"/>
      <c r="AI218" s="71"/>
      <c r="AJ218" s="416"/>
      <c r="AK218" s="71"/>
      <c r="AL218" s="91">
        <f t="shared" si="107"/>
        <v>0</v>
      </c>
      <c r="AM218" s="71"/>
      <c r="AN218" s="258">
        <f>SUM(AD218,V218,N218+AL218)</f>
        <v>0</v>
      </c>
      <c r="AO218" s="71"/>
      <c r="AP218" s="28"/>
      <c r="AQ218" s="28"/>
    </row>
    <row r="219" spans="1:46" s="10" customFormat="1" ht="18" hidden="1" customHeight="1">
      <c r="A219" s="5"/>
      <c r="B219" s="114"/>
      <c r="C219" s="772" t="s">
        <v>704</v>
      </c>
      <c r="D219" s="841" t="s">
        <v>707</v>
      </c>
      <c r="E219" s="841" t="s">
        <v>187</v>
      </c>
      <c r="F219" s="861" t="s">
        <v>209</v>
      </c>
      <c r="G219" s="862" t="s">
        <v>306</v>
      </c>
      <c r="H219" s="30"/>
      <c r="I219" s="27"/>
      <c r="J219" s="30"/>
      <c r="K219" s="27"/>
      <c r="L219" s="32"/>
      <c r="M219" s="27"/>
      <c r="N219" s="91">
        <f t="shared" si="104"/>
        <v>0</v>
      </c>
      <c r="O219" s="27"/>
      <c r="P219" s="32"/>
      <c r="Q219" s="27"/>
      <c r="R219" s="32"/>
      <c r="S219" s="27"/>
      <c r="T219" s="32"/>
      <c r="U219" s="27"/>
      <c r="V219" s="102">
        <f t="shared" si="105"/>
        <v>0</v>
      </c>
      <c r="W219" s="27"/>
      <c r="X219" s="32"/>
      <c r="Y219" s="27"/>
      <c r="Z219" s="32"/>
      <c r="AA219" s="27"/>
      <c r="AB219" s="32"/>
      <c r="AC219" s="27"/>
      <c r="AD219" s="91">
        <f t="shared" si="106"/>
        <v>0</v>
      </c>
      <c r="AE219" s="27"/>
      <c r="AF219" s="32"/>
      <c r="AG219" s="27"/>
      <c r="AH219" s="32"/>
      <c r="AI219" s="27"/>
      <c r="AJ219" s="32"/>
      <c r="AK219" s="71"/>
      <c r="AL219" s="91">
        <f t="shared" si="107"/>
        <v>0</v>
      </c>
      <c r="AM219" s="27"/>
      <c r="AN219" s="65">
        <f>SUM(N219+V219+AD219+AL219)</f>
        <v>0</v>
      </c>
      <c r="AO219" s="146"/>
      <c r="AP219" s="28"/>
      <c r="AQ219" s="28"/>
      <c r="AR219" s="28"/>
      <c r="AS219" s="28"/>
    </row>
    <row r="220" spans="1:46" s="10" customFormat="1" ht="18" hidden="1" customHeight="1">
      <c r="A220" s="5"/>
      <c r="B220" s="86"/>
      <c r="C220" s="772" t="s">
        <v>704</v>
      </c>
      <c r="D220" s="841" t="s">
        <v>706</v>
      </c>
      <c r="E220" s="841" t="s">
        <v>187</v>
      </c>
      <c r="F220" s="139" t="s">
        <v>202</v>
      </c>
      <c r="G220" s="261" t="s">
        <v>597</v>
      </c>
      <c r="H220" s="30"/>
      <c r="I220" s="27"/>
      <c r="J220" s="767">
        <v>652500</v>
      </c>
      <c r="K220" s="27"/>
      <c r="L220" s="32"/>
      <c r="M220" s="27"/>
      <c r="N220" s="91">
        <f t="shared" si="104"/>
        <v>652500</v>
      </c>
      <c r="O220" s="27"/>
      <c r="P220" s="32"/>
      <c r="Q220" s="27"/>
      <c r="R220" s="32"/>
      <c r="S220" s="27"/>
      <c r="T220" s="32"/>
      <c r="U220" s="27"/>
      <c r="V220" s="102">
        <f t="shared" si="105"/>
        <v>0</v>
      </c>
      <c r="W220" s="27"/>
      <c r="X220" s="32"/>
      <c r="Y220" s="27"/>
      <c r="Z220" s="32"/>
      <c r="AA220" s="27"/>
      <c r="AB220" s="32"/>
      <c r="AC220" s="27"/>
      <c r="AD220" s="91">
        <f t="shared" si="106"/>
        <v>0</v>
      </c>
      <c r="AE220" s="27"/>
      <c r="AF220" s="32"/>
      <c r="AG220" s="27"/>
      <c r="AH220" s="32"/>
      <c r="AI220" s="27"/>
      <c r="AJ220" s="32"/>
      <c r="AK220" s="71"/>
      <c r="AL220" s="91">
        <f t="shared" si="107"/>
        <v>0</v>
      </c>
      <c r="AM220" s="27"/>
      <c r="AN220" s="65">
        <f>SUM(N220+V220+AD220+AL220)</f>
        <v>652500</v>
      </c>
      <c r="AO220" s="146"/>
      <c r="AP220" s="28"/>
      <c r="AQ220" s="28"/>
      <c r="AR220" s="28"/>
      <c r="AS220" s="28"/>
    </row>
    <row r="221" spans="1:46" s="10" customFormat="1" ht="18" hidden="1" customHeight="1">
      <c r="A221" s="5"/>
      <c r="B221" s="86"/>
      <c r="C221" s="772" t="s">
        <v>704</v>
      </c>
      <c r="D221" s="841" t="s">
        <v>706</v>
      </c>
      <c r="E221" s="841" t="s">
        <v>187</v>
      </c>
      <c r="F221" s="139" t="s">
        <v>307</v>
      </c>
      <c r="G221" s="261" t="s">
        <v>703</v>
      </c>
      <c r="H221" s="767">
        <v>1150000</v>
      </c>
      <c r="I221" s="27"/>
      <c r="J221" s="30"/>
      <c r="K221" s="27"/>
      <c r="L221" s="32"/>
      <c r="M221" s="27"/>
      <c r="N221" s="91">
        <f t="shared" si="104"/>
        <v>1150000</v>
      </c>
      <c r="O221" s="27"/>
      <c r="P221" s="32"/>
      <c r="Q221" s="27"/>
      <c r="R221" s="32"/>
      <c r="S221" s="27"/>
      <c r="T221" s="32"/>
      <c r="U221" s="27"/>
      <c r="V221" s="102">
        <f t="shared" si="105"/>
        <v>0</v>
      </c>
      <c r="W221" s="27"/>
      <c r="X221" s="32"/>
      <c r="Y221" s="27"/>
      <c r="Z221" s="32"/>
      <c r="AA221" s="27"/>
      <c r="AB221" s="32"/>
      <c r="AC221" s="27"/>
      <c r="AD221" s="91">
        <f t="shared" si="106"/>
        <v>0</v>
      </c>
      <c r="AE221" s="27"/>
      <c r="AF221" s="32"/>
      <c r="AG221" s="27"/>
      <c r="AH221" s="32"/>
      <c r="AI221" s="27"/>
      <c r="AJ221" s="32"/>
      <c r="AK221" s="260"/>
      <c r="AL221" s="91">
        <f t="shared" si="107"/>
        <v>0</v>
      </c>
      <c r="AM221" s="27"/>
      <c r="AN221" s="65">
        <f t="shared" ref="AN221:AN227" si="108">SUM(N221+V221+AD221+AL221)</f>
        <v>1150000</v>
      </c>
      <c r="AO221" s="146"/>
      <c r="AP221" s="28"/>
      <c r="AQ221" s="28"/>
      <c r="AR221" s="28"/>
      <c r="AS221" s="28"/>
    </row>
    <row r="222" spans="1:46" s="10" customFormat="1" ht="18" hidden="1" customHeight="1">
      <c r="A222" s="5"/>
      <c r="B222" s="86"/>
      <c r="C222" s="772" t="s">
        <v>704</v>
      </c>
      <c r="D222" s="841" t="s">
        <v>706</v>
      </c>
      <c r="E222" s="841" t="s">
        <v>187</v>
      </c>
      <c r="F222" s="139" t="s">
        <v>309</v>
      </c>
      <c r="G222" s="261" t="s">
        <v>310</v>
      </c>
      <c r="H222" s="30"/>
      <c r="I222" s="27"/>
      <c r="J222" s="30"/>
      <c r="K222" s="27"/>
      <c r="L222" s="32"/>
      <c r="M222" s="27"/>
      <c r="N222" s="91">
        <f t="shared" si="104"/>
        <v>0</v>
      </c>
      <c r="O222" s="27"/>
      <c r="P222" s="32"/>
      <c r="Q222" s="27"/>
      <c r="R222" s="32"/>
      <c r="S222" s="27"/>
      <c r="T222" s="32"/>
      <c r="U222" s="27"/>
      <c r="V222" s="102">
        <f t="shared" si="105"/>
        <v>0</v>
      </c>
      <c r="W222" s="27"/>
      <c r="X222" s="32"/>
      <c r="Y222" s="27"/>
      <c r="Z222" s="32"/>
      <c r="AA222" s="27"/>
      <c r="AB222" s="32"/>
      <c r="AC222" s="27"/>
      <c r="AD222" s="91">
        <f t="shared" si="106"/>
        <v>0</v>
      </c>
      <c r="AE222" s="27"/>
      <c r="AF222" s="32"/>
      <c r="AG222" s="27"/>
      <c r="AH222" s="32"/>
      <c r="AI222" s="27"/>
      <c r="AJ222" s="32"/>
      <c r="AK222" s="260"/>
      <c r="AL222" s="91">
        <f t="shared" si="107"/>
        <v>0</v>
      </c>
      <c r="AM222" s="27"/>
      <c r="AN222" s="65">
        <f t="shared" si="108"/>
        <v>0</v>
      </c>
      <c r="AO222" s="146"/>
      <c r="AP222" s="28"/>
      <c r="AQ222" s="28"/>
      <c r="AR222" s="28"/>
      <c r="AS222" s="28"/>
    </row>
    <row r="223" spans="1:46" s="10" customFormat="1" ht="18" hidden="1" customHeight="1">
      <c r="A223" s="5"/>
      <c r="B223" s="86"/>
      <c r="C223" s="772" t="s">
        <v>704</v>
      </c>
      <c r="D223" s="829" t="s">
        <v>706</v>
      </c>
      <c r="E223" s="829" t="s">
        <v>187</v>
      </c>
      <c r="F223" s="139" t="s">
        <v>311</v>
      </c>
      <c r="G223" s="261" t="s">
        <v>312</v>
      </c>
      <c r="H223" s="30"/>
      <c r="I223" s="71"/>
      <c r="J223" s="30">
        <v>396750</v>
      </c>
      <c r="K223" s="71"/>
      <c r="L223" s="32"/>
      <c r="M223" s="71"/>
      <c r="N223" s="91">
        <f t="shared" si="104"/>
        <v>396750</v>
      </c>
      <c r="O223" s="71"/>
      <c r="P223" s="32">
        <v>908500</v>
      </c>
      <c r="Q223" s="71"/>
      <c r="R223" s="32"/>
      <c r="S223" s="71"/>
      <c r="T223" s="32"/>
      <c r="U223" s="71"/>
      <c r="V223" s="102">
        <f t="shared" si="105"/>
        <v>908500</v>
      </c>
      <c r="W223" s="71"/>
      <c r="X223" s="32"/>
      <c r="Y223" s="71"/>
      <c r="Z223" s="32"/>
      <c r="AA223" s="71"/>
      <c r="AB223" s="32"/>
      <c r="AC223" s="71"/>
      <c r="AD223" s="91">
        <f t="shared" si="106"/>
        <v>0</v>
      </c>
      <c r="AE223" s="71"/>
      <c r="AF223" s="32"/>
      <c r="AG223" s="71"/>
      <c r="AH223" s="32"/>
      <c r="AI223" s="71"/>
      <c r="AJ223" s="32"/>
      <c r="AK223" s="71"/>
      <c r="AL223" s="91">
        <f t="shared" si="107"/>
        <v>0</v>
      </c>
      <c r="AM223" s="71"/>
      <c r="AN223" s="65">
        <f t="shared" si="108"/>
        <v>1305250</v>
      </c>
      <c r="AO223" s="71"/>
      <c r="AP223" s="28"/>
      <c r="AQ223" s="28"/>
      <c r="AR223" s="28"/>
      <c r="AS223" s="28"/>
    </row>
    <row r="224" spans="1:46" s="10" customFormat="1" ht="18" hidden="1" customHeight="1">
      <c r="A224" s="5"/>
      <c r="B224" s="86"/>
      <c r="C224" s="772" t="s">
        <v>704</v>
      </c>
      <c r="D224" s="830" t="s">
        <v>706</v>
      </c>
      <c r="E224" s="830" t="s">
        <v>187</v>
      </c>
      <c r="F224" s="139" t="s">
        <v>313</v>
      </c>
      <c r="G224" s="261" t="s">
        <v>314</v>
      </c>
      <c r="H224" s="30"/>
      <c r="I224" s="71"/>
      <c r="J224" s="30">
        <v>960000</v>
      </c>
      <c r="K224" s="71"/>
      <c r="L224" s="32"/>
      <c r="M224" s="71"/>
      <c r="N224" s="91">
        <f t="shared" si="104"/>
        <v>960000</v>
      </c>
      <c r="O224" s="71"/>
      <c r="P224" s="32">
        <v>960000</v>
      </c>
      <c r="Q224" s="71"/>
      <c r="R224" s="32"/>
      <c r="S224" s="71"/>
      <c r="T224" s="32"/>
      <c r="U224" s="71"/>
      <c r="V224" s="102">
        <f t="shared" si="105"/>
        <v>960000</v>
      </c>
      <c r="W224" s="71"/>
      <c r="X224" s="32"/>
      <c r="Y224" s="71"/>
      <c r="Z224" s="32"/>
      <c r="AA224" s="71"/>
      <c r="AB224" s="32"/>
      <c r="AC224" s="71"/>
      <c r="AD224" s="91">
        <f t="shared" si="106"/>
        <v>0</v>
      </c>
      <c r="AE224" s="71"/>
      <c r="AF224" s="32"/>
      <c r="AG224" s="71"/>
      <c r="AH224" s="32"/>
      <c r="AI224" s="71"/>
      <c r="AJ224" s="32"/>
      <c r="AK224" s="71"/>
      <c r="AL224" s="91">
        <f t="shared" si="107"/>
        <v>0</v>
      </c>
      <c r="AM224" s="71"/>
      <c r="AN224" s="65">
        <f t="shared" si="108"/>
        <v>1920000</v>
      </c>
      <c r="AO224" s="71"/>
      <c r="AP224" s="28"/>
      <c r="AQ224" s="28"/>
      <c r="AR224" s="28"/>
      <c r="AS224" s="28"/>
    </row>
    <row r="225" spans="1:46" s="265" customFormat="1" ht="18" hidden="1" customHeight="1">
      <c r="A225" s="262"/>
      <c r="B225" s="263"/>
      <c r="C225" s="772" t="s">
        <v>704</v>
      </c>
      <c r="D225" s="865" t="s">
        <v>706</v>
      </c>
      <c r="E225" s="865" t="s">
        <v>95</v>
      </c>
      <c r="F225" s="412" t="s">
        <v>222</v>
      </c>
      <c r="G225" s="97" t="s">
        <v>315</v>
      </c>
      <c r="H225" s="417"/>
      <c r="I225" s="413"/>
      <c r="J225" s="417"/>
      <c r="K225" s="413"/>
      <c r="L225" s="418"/>
      <c r="M225" s="413"/>
      <c r="N225" s="91">
        <f t="shared" si="104"/>
        <v>0</v>
      </c>
      <c r="O225" s="413"/>
      <c r="P225" s="418"/>
      <c r="Q225" s="413"/>
      <c r="R225" s="418"/>
      <c r="S225" s="413"/>
      <c r="T225" s="418"/>
      <c r="U225" s="413"/>
      <c r="V225" s="91">
        <f t="shared" si="105"/>
        <v>0</v>
      </c>
      <c r="W225" s="413"/>
      <c r="X225" s="418"/>
      <c r="Y225" s="413"/>
      <c r="Z225" s="418"/>
      <c r="AA225" s="413"/>
      <c r="AB225" s="418"/>
      <c r="AC225" s="413"/>
      <c r="AD225" s="91">
        <f t="shared" si="106"/>
        <v>0</v>
      </c>
      <c r="AE225" s="413"/>
      <c r="AF225" s="418"/>
      <c r="AG225" s="413"/>
      <c r="AH225" s="418"/>
      <c r="AI225" s="413"/>
      <c r="AJ225" s="418"/>
      <c r="AK225" s="413"/>
      <c r="AL225" s="91">
        <f t="shared" si="107"/>
        <v>0</v>
      </c>
      <c r="AM225" s="413"/>
      <c r="AN225" s="414">
        <f>SUM(N225+V225+AD225+AL225)</f>
        <v>0</v>
      </c>
      <c r="AO225" s="71"/>
      <c r="AP225" s="264"/>
      <c r="AQ225" s="264"/>
      <c r="AR225" s="264"/>
      <c r="AS225" s="264"/>
      <c r="AT225" s="264"/>
    </row>
    <row r="226" spans="1:46" s="10" customFormat="1" ht="18" hidden="1" customHeight="1">
      <c r="A226" s="5"/>
      <c r="B226" s="86"/>
      <c r="C226" s="864" t="s">
        <v>704</v>
      </c>
      <c r="D226" s="104" t="s">
        <v>706</v>
      </c>
      <c r="E226" s="104" t="s">
        <v>95</v>
      </c>
      <c r="F226" s="534" t="s">
        <v>516</v>
      </c>
      <c r="G226" s="133" t="s">
        <v>517</v>
      </c>
      <c r="H226" s="30">
        <v>16836110</v>
      </c>
      <c r="I226" s="71"/>
      <c r="J226" s="30">
        <v>0</v>
      </c>
      <c r="K226" s="71"/>
      <c r="L226" s="32"/>
      <c r="M226" s="71"/>
      <c r="N226" s="91">
        <f>SUM(H226,J226,L226)</f>
        <v>16836110</v>
      </c>
      <c r="O226" s="71"/>
      <c r="P226" s="32"/>
      <c r="Q226" s="71"/>
      <c r="R226" s="32"/>
      <c r="S226" s="71"/>
      <c r="T226" s="32"/>
      <c r="U226" s="71"/>
      <c r="V226" s="102">
        <f t="shared" si="105"/>
        <v>0</v>
      </c>
      <c r="W226" s="71"/>
      <c r="X226" s="32"/>
      <c r="Y226" s="71"/>
      <c r="Z226" s="32"/>
      <c r="AA226" s="71"/>
      <c r="AB226" s="32"/>
      <c r="AC226" s="71"/>
      <c r="AD226" s="91">
        <f t="shared" si="106"/>
        <v>0</v>
      </c>
      <c r="AE226" s="71"/>
      <c r="AF226" s="32"/>
      <c r="AG226" s="71"/>
      <c r="AH226" s="32"/>
      <c r="AI226" s="71"/>
      <c r="AJ226" s="32"/>
      <c r="AK226" s="71"/>
      <c r="AL226" s="91">
        <f t="shared" si="107"/>
        <v>0</v>
      </c>
      <c r="AM226" s="71"/>
      <c r="AN226" s="65">
        <f>SUM(N226+V226+AD226+AL226)</f>
        <v>16836110</v>
      </c>
      <c r="AO226" s="71"/>
      <c r="AP226" s="28"/>
      <c r="AQ226" s="28"/>
      <c r="AR226" s="28"/>
      <c r="AS226" s="28"/>
      <c r="AT226" s="28"/>
    </row>
    <row r="227" spans="1:46" s="265" customFormat="1" ht="18" hidden="1" customHeight="1" thickBot="1">
      <c r="A227" s="262"/>
      <c r="B227" s="263"/>
      <c r="C227" s="432" t="s">
        <v>704</v>
      </c>
      <c r="D227" s="865" t="s">
        <v>706</v>
      </c>
      <c r="E227" s="865" t="s">
        <v>99</v>
      </c>
      <c r="F227" s="412" t="s">
        <v>303</v>
      </c>
      <c r="G227" s="97" t="s">
        <v>316</v>
      </c>
      <c r="H227" s="417"/>
      <c r="I227" s="413"/>
      <c r="J227" s="417"/>
      <c r="K227" s="413"/>
      <c r="L227" s="418"/>
      <c r="M227" s="413"/>
      <c r="N227" s="91">
        <f t="shared" ref="N227" si="109">SUM(H227,J227,L227)</f>
        <v>0</v>
      </c>
      <c r="O227" s="413"/>
      <c r="P227" s="418"/>
      <c r="Q227" s="413"/>
      <c r="R227" s="418"/>
      <c r="S227" s="413"/>
      <c r="T227" s="418"/>
      <c r="U227" s="413"/>
      <c r="V227" s="91">
        <f t="shared" si="105"/>
        <v>0</v>
      </c>
      <c r="W227" s="413"/>
      <c r="X227" s="418"/>
      <c r="Y227" s="413"/>
      <c r="Z227" s="418"/>
      <c r="AA227" s="413"/>
      <c r="AB227" s="418"/>
      <c r="AC227" s="413"/>
      <c r="AD227" s="91">
        <f t="shared" si="106"/>
        <v>0</v>
      </c>
      <c r="AE227" s="413"/>
      <c r="AF227" s="418"/>
      <c r="AG227" s="413"/>
      <c r="AH227" s="418"/>
      <c r="AI227" s="413"/>
      <c r="AJ227" s="418"/>
      <c r="AK227" s="413"/>
      <c r="AL227" s="91">
        <f t="shared" si="107"/>
        <v>0</v>
      </c>
      <c r="AM227" s="413"/>
      <c r="AN227" s="414">
        <f t="shared" si="108"/>
        <v>0</v>
      </c>
      <c r="AO227" s="71"/>
      <c r="AP227" s="264"/>
      <c r="AQ227" s="264"/>
      <c r="AR227" s="264"/>
      <c r="AS227" s="264"/>
      <c r="AT227" s="264"/>
    </row>
    <row r="228" spans="1:46" s="10" customFormat="1" ht="20" hidden="1" customHeight="1" thickBot="1">
      <c r="B228" s="1050" t="s">
        <v>702</v>
      </c>
      <c r="C228" s="1051"/>
      <c r="D228" s="1051"/>
      <c r="E228" s="1051"/>
      <c r="F228" s="1051"/>
      <c r="G228" s="1052"/>
      <c r="H228" s="249">
        <f>SUM(H220:H227)</f>
        <v>17986110</v>
      </c>
      <c r="I228" s="241"/>
      <c r="J228" s="249">
        <f>SUM(J220:J227)</f>
        <v>2009250</v>
      </c>
      <c r="K228" s="241"/>
      <c r="L228" s="249">
        <f>SUM(L220:L227)</f>
        <v>0</v>
      </c>
      <c r="M228" s="241"/>
      <c r="N228" s="249">
        <f t="shared" ref="N228" si="110">SUM(H228:L228)</f>
        <v>19995360</v>
      </c>
      <c r="O228" s="241"/>
      <c r="P228" s="249">
        <f>SUM(P220:P227)</f>
        <v>1868500</v>
      </c>
      <c r="Q228" s="241"/>
      <c r="R228" s="249">
        <f>SUM(R220:R227)</f>
        <v>0</v>
      </c>
      <c r="S228" s="241"/>
      <c r="T228" s="249">
        <f>SUM(T220:T227)</f>
        <v>0</v>
      </c>
      <c r="U228" s="241"/>
      <c r="V228" s="249">
        <f t="shared" ref="V228" si="111">SUM(P228:T228)</f>
        <v>1868500</v>
      </c>
      <c r="W228" s="241"/>
      <c r="X228" s="249">
        <f>SUM(X220:X227)</f>
        <v>0</v>
      </c>
      <c r="Y228" s="241"/>
      <c r="Z228" s="249">
        <f>SUM(Z220:Z227)</f>
        <v>0</v>
      </c>
      <c r="AA228" s="241"/>
      <c r="AB228" s="249">
        <f>SUM(AB220:AB227)</f>
        <v>0</v>
      </c>
      <c r="AC228" s="241"/>
      <c r="AD228" s="249">
        <f t="shared" ref="AD228" si="112">SUM(X228:AB228)</f>
        <v>0</v>
      </c>
      <c r="AE228" s="241"/>
      <c r="AF228" s="249">
        <f>SUM(AF220:AF227)</f>
        <v>0</v>
      </c>
      <c r="AG228" s="241"/>
      <c r="AH228" s="249">
        <f>SUM(AH220:AH227)</f>
        <v>0</v>
      </c>
      <c r="AI228" s="241"/>
      <c r="AJ228" s="249">
        <f>SUM(AJ220:AJ227)</f>
        <v>0</v>
      </c>
      <c r="AK228" s="241"/>
      <c r="AL228" s="250">
        <f t="shared" ref="AL228" si="113">SUM(AF228:AJ228)</f>
        <v>0</v>
      </c>
      <c r="AM228" s="241"/>
      <c r="AN228" s="251">
        <f>SUM(AD228,V228,N228+AL228)</f>
        <v>21863860</v>
      </c>
      <c r="AO228" s="241"/>
      <c r="AP228" s="28"/>
      <c r="AQ228" s="28"/>
      <c r="AR228" s="28"/>
      <c r="AS228" s="28"/>
    </row>
    <row r="229" spans="1:46" hidden="1">
      <c r="I229" s="269"/>
      <c r="K229" s="269"/>
      <c r="M229" s="269"/>
      <c r="O229" s="269"/>
      <c r="Q229" s="269"/>
      <c r="S229" s="269"/>
      <c r="U229" s="269"/>
      <c r="Y229" s="269"/>
      <c r="AA229" s="269"/>
      <c r="AC229" s="269"/>
      <c r="AL229" s="211"/>
      <c r="AO229" s="269"/>
      <c r="AP229" s="211"/>
      <c r="AQ229" s="268"/>
      <c r="AR229" s="269"/>
      <c r="AS229" s="217"/>
    </row>
    <row r="230" spans="1:46" ht="20" hidden="1">
      <c r="I230" s="269"/>
      <c r="K230" s="269"/>
      <c r="M230" s="269"/>
      <c r="O230" s="269"/>
      <c r="Q230" s="269"/>
      <c r="S230" s="269"/>
      <c r="U230" s="269"/>
      <c r="Y230" s="269"/>
      <c r="AA230" s="269"/>
      <c r="AC230" s="269"/>
      <c r="AL230" s="211"/>
      <c r="AO230" s="269"/>
      <c r="AP230" s="211"/>
      <c r="AQ230" s="270"/>
      <c r="AR230" s="269"/>
      <c r="AS230" s="217"/>
    </row>
    <row r="231" spans="1:46" hidden="1">
      <c r="L231" s="271"/>
      <c r="P231" s="271"/>
      <c r="R231" s="271"/>
      <c r="T231" s="271"/>
      <c r="X231" s="271"/>
      <c r="Z231" s="271"/>
      <c r="AB231" s="271"/>
      <c r="AF231" s="271"/>
      <c r="AH231" s="271"/>
      <c r="AJ231" s="271"/>
      <c r="AM231" s="272"/>
      <c r="AO231" s="211"/>
      <c r="AP231" s="272"/>
      <c r="AQ231" s="217"/>
    </row>
    <row r="232" spans="1:46">
      <c r="L232" s="271"/>
      <c r="P232" s="271"/>
      <c r="R232" s="271"/>
      <c r="T232" s="271"/>
      <c r="X232" s="271"/>
      <c r="Z232" s="271"/>
      <c r="AB232" s="271"/>
      <c r="AF232" s="271"/>
      <c r="AH232" s="271"/>
      <c r="AJ232" s="271"/>
    </row>
    <row r="233" spans="1:46" ht="18">
      <c r="F233" s="273" t="s">
        <v>317</v>
      </c>
      <c r="G233" s="274"/>
      <c r="H233" s="274"/>
      <c r="I233" s="274"/>
      <c r="L233" s="271"/>
      <c r="P233" s="271"/>
      <c r="R233" s="271"/>
      <c r="T233" s="271"/>
      <c r="X233" s="271"/>
      <c r="Z233" s="271"/>
      <c r="AB233" s="271"/>
      <c r="AF233" s="271"/>
      <c r="AH233" s="271"/>
      <c r="AJ233" s="271"/>
    </row>
    <row r="234" spans="1:46">
      <c r="L234" s="271"/>
      <c r="P234" s="271"/>
      <c r="R234" s="271"/>
      <c r="T234" s="271"/>
      <c r="X234" s="271"/>
      <c r="Z234" s="271"/>
      <c r="AB234" s="271"/>
      <c r="AF234" s="271"/>
      <c r="AH234" s="271"/>
      <c r="AJ234" s="271"/>
    </row>
    <row r="235" spans="1:46">
      <c r="L235" s="271"/>
      <c r="P235" s="271"/>
      <c r="R235" s="271"/>
      <c r="T235" s="271"/>
      <c r="X235" s="271"/>
      <c r="Z235" s="271"/>
      <c r="AB235" s="271"/>
      <c r="AF235" s="271"/>
      <c r="AH235" s="271"/>
      <c r="AJ235" s="271"/>
    </row>
    <row r="236" spans="1:46">
      <c r="C236" s="275"/>
      <c r="L236" s="271"/>
      <c r="P236" s="271"/>
      <c r="R236" s="271"/>
      <c r="T236" s="271"/>
      <c r="X236" s="271"/>
      <c r="Z236" s="271"/>
      <c r="AB236" s="271"/>
      <c r="AF236" s="271"/>
      <c r="AH236" s="271"/>
      <c r="AJ236" s="271"/>
    </row>
    <row r="237" spans="1:46" s="212" customFormat="1">
      <c r="A237" s="211"/>
      <c r="B237" s="211"/>
      <c r="C237" s="275"/>
      <c r="F237" s="211"/>
      <c r="G237" s="211"/>
      <c r="H237" s="211"/>
      <c r="I237" s="272"/>
      <c r="J237" s="211"/>
      <c r="K237" s="272"/>
      <c r="L237" s="271"/>
      <c r="M237" s="272"/>
      <c r="N237" s="211"/>
      <c r="O237" s="272"/>
      <c r="P237" s="271"/>
      <c r="Q237" s="272"/>
      <c r="R237" s="271"/>
      <c r="S237" s="272"/>
      <c r="T237" s="271"/>
      <c r="U237" s="272"/>
      <c r="V237" s="211"/>
      <c r="W237" s="211"/>
      <c r="X237" s="271"/>
      <c r="Y237" s="211"/>
      <c r="Z237" s="271"/>
      <c r="AA237" s="211"/>
      <c r="AB237" s="271"/>
      <c r="AC237" s="211"/>
      <c r="AD237" s="211"/>
      <c r="AE237" s="211"/>
      <c r="AF237" s="271"/>
      <c r="AG237" s="211"/>
      <c r="AH237" s="271"/>
      <c r="AI237" s="211"/>
      <c r="AJ237" s="271"/>
      <c r="AK237" s="211"/>
      <c r="AL237" s="272"/>
      <c r="AM237" s="211"/>
      <c r="AN237" s="211"/>
      <c r="AO237" s="272"/>
      <c r="AP237" s="217"/>
      <c r="AQ237" s="211"/>
      <c r="AR237" s="211"/>
      <c r="AS237" s="211"/>
      <c r="AT237" s="211"/>
    </row>
    <row r="238" spans="1:46" s="212" customFormat="1">
      <c r="A238" s="211"/>
      <c r="B238" s="211"/>
      <c r="C238" s="275"/>
      <c r="F238" s="211"/>
      <c r="G238" s="211"/>
      <c r="H238" s="211"/>
      <c r="I238" s="272"/>
      <c r="J238" s="211"/>
      <c r="K238" s="272"/>
      <c r="L238" s="271"/>
      <c r="M238" s="272"/>
      <c r="N238" s="211"/>
      <c r="O238" s="272"/>
      <c r="P238" s="271"/>
      <c r="Q238" s="272"/>
      <c r="R238" s="271"/>
      <c r="S238" s="272"/>
      <c r="T238" s="271"/>
      <c r="U238" s="272"/>
      <c r="V238" s="211"/>
      <c r="W238" s="211"/>
      <c r="X238" s="271"/>
      <c r="Y238" s="211"/>
      <c r="Z238" s="271"/>
      <c r="AA238" s="211"/>
      <c r="AB238" s="271"/>
      <c r="AC238" s="211"/>
      <c r="AD238" s="211"/>
      <c r="AE238" s="211"/>
      <c r="AF238" s="271"/>
      <c r="AG238" s="211"/>
      <c r="AH238" s="271"/>
      <c r="AI238" s="211"/>
      <c r="AJ238" s="271"/>
      <c r="AK238" s="211"/>
      <c r="AL238" s="272"/>
      <c r="AM238" s="211"/>
      <c r="AN238" s="211"/>
      <c r="AO238" s="272"/>
      <c r="AP238" s="217"/>
      <c r="AQ238" s="211"/>
      <c r="AR238" s="211"/>
      <c r="AS238" s="211"/>
      <c r="AT238" s="211"/>
    </row>
    <row r="239" spans="1:46" s="212" customFormat="1">
      <c r="A239" s="211"/>
      <c r="B239" s="211"/>
      <c r="C239" s="275"/>
      <c r="F239" s="211"/>
      <c r="G239" s="211"/>
      <c r="H239" s="211"/>
      <c r="I239" s="272"/>
      <c r="J239" s="211"/>
      <c r="K239" s="272"/>
      <c r="L239" s="271"/>
      <c r="M239" s="272"/>
      <c r="N239" s="211"/>
      <c r="O239" s="272"/>
      <c r="P239" s="271"/>
      <c r="Q239" s="272"/>
      <c r="R239" s="271"/>
      <c r="S239" s="272"/>
      <c r="T239" s="271"/>
      <c r="U239" s="272"/>
      <c r="V239" s="211"/>
      <c r="W239" s="211"/>
      <c r="X239" s="271"/>
      <c r="Y239" s="211"/>
      <c r="Z239" s="271"/>
      <c r="AA239" s="211"/>
      <c r="AB239" s="271"/>
      <c r="AC239" s="211"/>
      <c r="AD239" s="211"/>
      <c r="AE239" s="211"/>
      <c r="AF239" s="271"/>
      <c r="AG239" s="211"/>
      <c r="AH239" s="271"/>
      <c r="AI239" s="211"/>
      <c r="AJ239" s="271"/>
      <c r="AK239" s="211"/>
      <c r="AL239" s="272"/>
      <c r="AM239" s="211"/>
      <c r="AN239" s="211"/>
      <c r="AO239" s="272"/>
      <c r="AP239" s="217"/>
      <c r="AQ239" s="211"/>
      <c r="AR239" s="211"/>
      <c r="AS239" s="211"/>
      <c r="AT239" s="211"/>
    </row>
    <row r="240" spans="1:46" s="212" customFormat="1">
      <c r="A240" s="211"/>
      <c r="B240" s="211"/>
      <c r="C240" s="275"/>
      <c r="F240" s="211"/>
      <c r="G240" s="211"/>
      <c r="H240" s="211"/>
      <c r="I240" s="272"/>
      <c r="J240" s="211"/>
      <c r="K240" s="272"/>
      <c r="L240" s="271"/>
      <c r="M240" s="272"/>
      <c r="N240" s="211"/>
      <c r="O240" s="272"/>
      <c r="P240" s="271"/>
      <c r="Q240" s="272"/>
      <c r="R240" s="271"/>
      <c r="S240" s="272"/>
      <c r="T240" s="271"/>
      <c r="U240" s="272"/>
      <c r="V240" s="211"/>
      <c r="W240" s="211"/>
      <c r="X240" s="271"/>
      <c r="Y240" s="211"/>
      <c r="Z240" s="271"/>
      <c r="AA240" s="211"/>
      <c r="AB240" s="271"/>
      <c r="AC240" s="211"/>
      <c r="AD240" s="211"/>
      <c r="AE240" s="211"/>
      <c r="AF240" s="271"/>
      <c r="AG240" s="211"/>
      <c r="AH240" s="271"/>
      <c r="AI240" s="211"/>
      <c r="AJ240" s="271"/>
      <c r="AK240" s="211"/>
      <c r="AL240" s="272"/>
      <c r="AM240" s="211"/>
      <c r="AN240" s="211"/>
      <c r="AO240" s="272"/>
      <c r="AP240" s="217"/>
      <c r="AQ240" s="211"/>
      <c r="AR240" s="211"/>
      <c r="AS240" s="211"/>
      <c r="AT240" s="211"/>
    </row>
    <row r="241" spans="1:46" s="212" customFormat="1">
      <c r="A241" s="211"/>
      <c r="B241" s="211"/>
      <c r="C241" s="275"/>
      <c r="F241" s="211"/>
      <c r="G241" s="211"/>
      <c r="H241" s="211"/>
      <c r="I241" s="272"/>
      <c r="J241" s="211"/>
      <c r="K241" s="272"/>
      <c r="L241" s="271"/>
      <c r="M241" s="272"/>
      <c r="N241" s="211"/>
      <c r="O241" s="272"/>
      <c r="P241" s="271"/>
      <c r="Q241" s="272"/>
      <c r="R241" s="271"/>
      <c r="S241" s="272"/>
      <c r="T241" s="271"/>
      <c r="U241" s="272"/>
      <c r="V241" s="211"/>
      <c r="W241" s="211"/>
      <c r="X241" s="271"/>
      <c r="Y241" s="211"/>
      <c r="Z241" s="271"/>
      <c r="AA241" s="211"/>
      <c r="AB241" s="271"/>
      <c r="AC241" s="211"/>
      <c r="AD241" s="211"/>
      <c r="AE241" s="211"/>
      <c r="AF241" s="271"/>
      <c r="AG241" s="211"/>
      <c r="AH241" s="271"/>
      <c r="AI241" s="211"/>
      <c r="AJ241" s="271"/>
      <c r="AK241" s="211"/>
      <c r="AL241" s="272"/>
      <c r="AM241" s="211"/>
      <c r="AN241" s="211"/>
      <c r="AO241" s="272"/>
      <c r="AP241" s="217"/>
      <c r="AQ241" s="211"/>
      <c r="AR241" s="211"/>
      <c r="AS241" s="211"/>
      <c r="AT241" s="211"/>
    </row>
    <row r="242" spans="1:46" s="212" customFormat="1">
      <c r="A242" s="211"/>
      <c r="B242" s="211"/>
      <c r="C242" s="275"/>
      <c r="F242" s="211"/>
      <c r="G242" s="211"/>
      <c r="H242" s="211"/>
      <c r="I242" s="272"/>
      <c r="J242" s="211"/>
      <c r="K242" s="272"/>
      <c r="L242" s="211"/>
      <c r="M242" s="272"/>
      <c r="N242" s="211"/>
      <c r="O242" s="272"/>
      <c r="P242" s="211"/>
      <c r="Q242" s="272"/>
      <c r="R242" s="211"/>
      <c r="S242" s="272"/>
      <c r="T242" s="211"/>
      <c r="U242" s="272"/>
      <c r="V242" s="211"/>
      <c r="W242" s="211"/>
      <c r="X242" s="211"/>
      <c r="Y242" s="211"/>
      <c r="Z242" s="211"/>
      <c r="AA242" s="211"/>
      <c r="AB242" s="211"/>
      <c r="AC242" s="211"/>
      <c r="AD242" s="211"/>
      <c r="AE242" s="211"/>
      <c r="AF242" s="211"/>
      <c r="AG242" s="211"/>
      <c r="AH242" s="211"/>
      <c r="AI242" s="211"/>
      <c r="AJ242" s="211"/>
      <c r="AK242" s="211"/>
      <c r="AL242" s="272"/>
      <c r="AM242" s="211"/>
      <c r="AN242" s="211"/>
      <c r="AO242" s="272"/>
      <c r="AP242" s="217"/>
      <c r="AQ242" s="211"/>
      <c r="AR242" s="211"/>
      <c r="AS242" s="211"/>
      <c r="AT242" s="211"/>
    </row>
    <row r="243" spans="1:46" s="212" customFormat="1">
      <c r="A243" s="211"/>
      <c r="B243" s="211"/>
      <c r="C243" s="275"/>
      <c r="F243" s="211"/>
      <c r="G243" s="211"/>
      <c r="H243" s="211"/>
      <c r="I243" s="272"/>
      <c r="J243" s="211"/>
      <c r="K243" s="272"/>
      <c r="L243" s="211"/>
      <c r="M243" s="272"/>
      <c r="N243" s="211"/>
      <c r="O243" s="272"/>
      <c r="P243" s="211"/>
      <c r="Q243" s="272"/>
      <c r="R243" s="211"/>
      <c r="S243" s="272"/>
      <c r="T243" s="211"/>
      <c r="U243" s="272"/>
      <c r="V243" s="211"/>
      <c r="W243" s="211"/>
      <c r="X243" s="211"/>
      <c r="Y243" s="211"/>
      <c r="Z243" s="211"/>
      <c r="AA243" s="211"/>
      <c r="AB243" s="211"/>
      <c r="AC243" s="211"/>
      <c r="AD243" s="211"/>
      <c r="AE243" s="211"/>
      <c r="AF243" s="211"/>
      <c r="AG243" s="211"/>
      <c r="AH243" s="211"/>
      <c r="AI243" s="211"/>
      <c r="AJ243" s="211"/>
      <c r="AK243" s="211"/>
      <c r="AL243" s="272"/>
      <c r="AM243" s="211"/>
      <c r="AN243" s="211"/>
      <c r="AO243" s="272"/>
      <c r="AP243" s="217"/>
      <c r="AQ243" s="211"/>
      <c r="AR243" s="211"/>
      <c r="AS243" s="211"/>
      <c r="AT243" s="211"/>
    </row>
    <row r="244" spans="1:46" s="212" customFormat="1">
      <c r="A244" s="211"/>
      <c r="B244" s="211"/>
      <c r="C244" s="275"/>
      <c r="F244" s="211"/>
      <c r="G244" s="211"/>
      <c r="H244" s="211"/>
      <c r="I244" s="272"/>
      <c r="J244" s="211"/>
      <c r="K244" s="272"/>
      <c r="L244" s="211"/>
      <c r="M244" s="272"/>
      <c r="N244" s="211"/>
      <c r="O244" s="272"/>
      <c r="P244" s="211"/>
      <c r="Q244" s="272"/>
      <c r="R244" s="211"/>
      <c r="S244" s="272"/>
      <c r="T244" s="211"/>
      <c r="U244" s="272"/>
      <c r="V244" s="211"/>
      <c r="W244" s="211"/>
      <c r="X244" s="211"/>
      <c r="Y244" s="211"/>
      <c r="Z244" s="211"/>
      <c r="AA244" s="211"/>
      <c r="AB244" s="211"/>
      <c r="AC244" s="211"/>
      <c r="AD244" s="211"/>
      <c r="AE244" s="211"/>
      <c r="AF244" s="211"/>
      <c r="AG244" s="211"/>
      <c r="AH244" s="211"/>
      <c r="AI244" s="211"/>
      <c r="AJ244" s="211"/>
      <c r="AK244" s="211"/>
      <c r="AL244" s="272"/>
      <c r="AM244" s="211"/>
      <c r="AN244" s="211"/>
      <c r="AO244" s="272"/>
      <c r="AP244" s="217"/>
      <c r="AQ244" s="211"/>
      <c r="AR244" s="211"/>
      <c r="AS244" s="211"/>
      <c r="AT244" s="211"/>
    </row>
    <row r="245" spans="1:46" s="212" customFormat="1">
      <c r="A245" s="211"/>
      <c r="B245" s="211"/>
      <c r="C245" s="275"/>
      <c r="F245" s="211"/>
      <c r="G245" s="211"/>
      <c r="H245" s="211"/>
      <c r="I245" s="272"/>
      <c r="J245" s="211"/>
      <c r="K245" s="272"/>
      <c r="L245" s="211"/>
      <c r="M245" s="272"/>
      <c r="N245" s="211"/>
      <c r="O245" s="272"/>
      <c r="P245" s="211"/>
      <c r="Q245" s="272"/>
      <c r="R245" s="211"/>
      <c r="S245" s="272"/>
      <c r="T245" s="211"/>
      <c r="U245" s="272"/>
      <c r="V245" s="211"/>
      <c r="W245" s="211"/>
      <c r="X245" s="211"/>
      <c r="Y245" s="211"/>
      <c r="Z245" s="211"/>
      <c r="AA245" s="211"/>
      <c r="AB245" s="211"/>
      <c r="AC245" s="211"/>
      <c r="AD245" s="211"/>
      <c r="AE245" s="211"/>
      <c r="AF245" s="211"/>
      <c r="AG245" s="211"/>
      <c r="AH245" s="211"/>
      <c r="AI245" s="211"/>
      <c r="AJ245" s="211"/>
      <c r="AK245" s="211"/>
      <c r="AL245" s="272"/>
      <c r="AM245" s="211"/>
      <c r="AN245" s="211"/>
      <c r="AO245" s="272"/>
      <c r="AP245" s="217"/>
      <c r="AQ245" s="211"/>
      <c r="AR245" s="211"/>
      <c r="AS245" s="211"/>
      <c r="AT245" s="211"/>
    </row>
    <row r="246" spans="1:46" s="212" customFormat="1">
      <c r="A246" s="211"/>
      <c r="B246" s="211"/>
      <c r="C246" s="275"/>
      <c r="F246" s="211"/>
      <c r="G246" s="211"/>
      <c r="H246" s="211"/>
      <c r="I246" s="272"/>
      <c r="J246" s="211"/>
      <c r="K246" s="272"/>
      <c r="L246" s="211"/>
      <c r="M246" s="272"/>
      <c r="N246" s="211"/>
      <c r="O246" s="272"/>
      <c r="P246" s="211"/>
      <c r="Q246" s="272"/>
      <c r="R246" s="211"/>
      <c r="S246" s="272"/>
      <c r="T246" s="211"/>
      <c r="U246" s="272"/>
      <c r="V246" s="211"/>
      <c r="W246" s="211"/>
      <c r="X246" s="211"/>
      <c r="Y246" s="211"/>
      <c r="Z246" s="211"/>
      <c r="AA246" s="211"/>
      <c r="AB246" s="211"/>
      <c r="AC246" s="211"/>
      <c r="AD246" s="211"/>
      <c r="AE246" s="211"/>
      <c r="AF246" s="211"/>
      <c r="AG246" s="211"/>
      <c r="AH246" s="211"/>
      <c r="AI246" s="211"/>
      <c r="AJ246" s="211"/>
      <c r="AK246" s="211"/>
      <c r="AL246" s="272"/>
      <c r="AM246" s="211"/>
      <c r="AN246" s="211"/>
      <c r="AO246" s="272"/>
      <c r="AP246" s="217"/>
      <c r="AQ246" s="211"/>
      <c r="AR246" s="211"/>
      <c r="AS246" s="211"/>
      <c r="AT246" s="211"/>
    </row>
    <row r="247" spans="1:46" s="212" customFormat="1">
      <c r="A247" s="211"/>
      <c r="B247" s="211"/>
      <c r="C247" s="275"/>
      <c r="F247" s="211"/>
      <c r="G247" s="211"/>
      <c r="H247" s="211"/>
      <c r="I247" s="272"/>
      <c r="J247" s="211"/>
      <c r="K247" s="272"/>
      <c r="L247" s="211"/>
      <c r="M247" s="272"/>
      <c r="N247" s="211"/>
      <c r="O247" s="272"/>
      <c r="P247" s="211"/>
      <c r="Q247" s="272"/>
      <c r="R247" s="211"/>
      <c r="S247" s="272"/>
      <c r="T247" s="211"/>
      <c r="U247" s="272"/>
      <c r="V247" s="211"/>
      <c r="W247" s="211"/>
      <c r="X247" s="211"/>
      <c r="Y247" s="211"/>
      <c r="Z247" s="211"/>
      <c r="AA247" s="211"/>
      <c r="AB247" s="211"/>
      <c r="AC247" s="211"/>
      <c r="AD247" s="211"/>
      <c r="AE247" s="211"/>
      <c r="AF247" s="211"/>
      <c r="AG247" s="211"/>
      <c r="AH247" s="211"/>
      <c r="AI247" s="211"/>
      <c r="AJ247" s="211"/>
      <c r="AK247" s="211"/>
      <c r="AL247" s="272"/>
      <c r="AM247" s="211"/>
      <c r="AN247" s="211"/>
      <c r="AO247" s="272"/>
      <c r="AP247" s="217"/>
      <c r="AQ247" s="211"/>
      <c r="AR247" s="211"/>
      <c r="AS247" s="211"/>
      <c r="AT247" s="211"/>
    </row>
    <row r="248" spans="1:46" s="212" customFormat="1">
      <c r="A248" s="211"/>
      <c r="B248" s="211"/>
      <c r="C248" s="275"/>
      <c r="F248" s="211"/>
      <c r="G248" s="211"/>
      <c r="H248" s="211"/>
      <c r="I248" s="272"/>
      <c r="J248" s="211"/>
      <c r="K248" s="272"/>
      <c r="L248" s="211"/>
      <c r="M248" s="272"/>
      <c r="N248" s="211"/>
      <c r="O248" s="272"/>
      <c r="P248" s="211"/>
      <c r="Q248" s="272"/>
      <c r="R248" s="211"/>
      <c r="S248" s="272"/>
      <c r="T248" s="211"/>
      <c r="U248" s="272"/>
      <c r="V248" s="211"/>
      <c r="W248" s="211"/>
      <c r="X248" s="211"/>
      <c r="Y248" s="211"/>
      <c r="Z248" s="211"/>
      <c r="AA248" s="211"/>
      <c r="AB248" s="211"/>
      <c r="AC248" s="211"/>
      <c r="AD248" s="211"/>
      <c r="AE248" s="211"/>
      <c r="AF248" s="211"/>
      <c r="AG248" s="211"/>
      <c r="AH248" s="211"/>
      <c r="AI248" s="211"/>
      <c r="AJ248" s="211"/>
      <c r="AK248" s="211"/>
      <c r="AL248" s="272"/>
      <c r="AM248" s="211"/>
      <c r="AN248" s="211"/>
      <c r="AO248" s="272"/>
      <c r="AP248" s="217"/>
      <c r="AQ248" s="211"/>
      <c r="AR248" s="211"/>
      <c r="AS248" s="211"/>
      <c r="AT248" s="211"/>
    </row>
    <row r="249" spans="1:46" s="212" customFormat="1">
      <c r="A249" s="211"/>
      <c r="B249" s="211"/>
      <c r="C249" s="275"/>
      <c r="F249" s="211"/>
      <c r="G249" s="211"/>
      <c r="H249" s="211"/>
      <c r="I249" s="272"/>
      <c r="J249" s="211"/>
      <c r="K249" s="272"/>
      <c r="L249" s="211"/>
      <c r="M249" s="272"/>
      <c r="N249" s="211"/>
      <c r="O249" s="272"/>
      <c r="P249" s="211"/>
      <c r="Q249" s="272"/>
      <c r="R249" s="211"/>
      <c r="S249" s="272"/>
      <c r="T249" s="211"/>
      <c r="U249" s="272"/>
      <c r="V249" s="211"/>
      <c r="W249" s="211"/>
      <c r="X249" s="211"/>
      <c r="Y249" s="211"/>
      <c r="Z249" s="211"/>
      <c r="AA249" s="211"/>
      <c r="AB249" s="211"/>
      <c r="AC249" s="211"/>
      <c r="AD249" s="211"/>
      <c r="AE249" s="211"/>
      <c r="AF249" s="211"/>
      <c r="AG249" s="211"/>
      <c r="AH249" s="211"/>
      <c r="AI249" s="211"/>
      <c r="AJ249" s="211"/>
      <c r="AK249" s="211"/>
      <c r="AL249" s="272"/>
      <c r="AM249" s="211"/>
      <c r="AN249" s="211"/>
      <c r="AO249" s="272"/>
      <c r="AP249" s="217"/>
      <c r="AQ249" s="211"/>
      <c r="AR249" s="211"/>
      <c r="AS249" s="211"/>
      <c r="AT249" s="211"/>
    </row>
    <row r="250" spans="1:46" s="212" customFormat="1">
      <c r="A250" s="211"/>
      <c r="B250" s="211"/>
      <c r="C250" s="275"/>
      <c r="F250" s="211"/>
      <c r="G250" s="211"/>
      <c r="H250" s="211"/>
      <c r="I250" s="272"/>
      <c r="J250" s="211"/>
      <c r="K250" s="272"/>
      <c r="L250" s="211"/>
      <c r="M250" s="272"/>
      <c r="N250" s="211"/>
      <c r="O250" s="272"/>
      <c r="P250" s="211"/>
      <c r="Q250" s="272"/>
      <c r="R250" s="211"/>
      <c r="S250" s="272"/>
      <c r="T250" s="211"/>
      <c r="U250" s="272"/>
      <c r="V250" s="211"/>
      <c r="W250" s="211"/>
      <c r="X250" s="211"/>
      <c r="Y250" s="211"/>
      <c r="Z250" s="211"/>
      <c r="AA250" s="211"/>
      <c r="AB250" s="211"/>
      <c r="AC250" s="211"/>
      <c r="AD250" s="211"/>
      <c r="AE250" s="211"/>
      <c r="AF250" s="211"/>
      <c r="AG250" s="211"/>
      <c r="AH250" s="211"/>
      <c r="AI250" s="211"/>
      <c r="AJ250" s="211"/>
      <c r="AK250" s="211"/>
      <c r="AL250" s="272"/>
      <c r="AM250" s="211"/>
      <c r="AN250" s="211"/>
      <c r="AO250" s="272"/>
      <c r="AP250" s="217"/>
      <c r="AQ250" s="211"/>
      <c r="AR250" s="211"/>
      <c r="AS250" s="211"/>
      <c r="AT250" s="211"/>
    </row>
    <row r="251" spans="1:46" s="212" customFormat="1">
      <c r="A251" s="211"/>
      <c r="B251" s="211"/>
      <c r="C251" s="275"/>
      <c r="F251" s="211"/>
      <c r="G251" s="211"/>
      <c r="H251" s="211"/>
      <c r="I251" s="272"/>
      <c r="J251" s="211"/>
      <c r="K251" s="272"/>
      <c r="L251" s="211"/>
      <c r="M251" s="272"/>
      <c r="N251" s="211"/>
      <c r="O251" s="272"/>
      <c r="P251" s="211"/>
      <c r="Q251" s="272"/>
      <c r="R251" s="211"/>
      <c r="S251" s="272"/>
      <c r="T251" s="211"/>
      <c r="U251" s="272"/>
      <c r="V251" s="211"/>
      <c r="W251" s="211"/>
      <c r="X251" s="211"/>
      <c r="Y251" s="211"/>
      <c r="Z251" s="211"/>
      <c r="AA251" s="211"/>
      <c r="AB251" s="211"/>
      <c r="AC251" s="211"/>
      <c r="AD251" s="211"/>
      <c r="AE251" s="211"/>
      <c r="AF251" s="211"/>
      <c r="AG251" s="211"/>
      <c r="AH251" s="211"/>
      <c r="AI251" s="211"/>
      <c r="AJ251" s="211"/>
      <c r="AK251" s="211"/>
      <c r="AL251" s="272"/>
      <c r="AM251" s="211"/>
      <c r="AN251" s="211"/>
      <c r="AO251" s="272"/>
      <c r="AP251" s="217"/>
      <c r="AQ251" s="211"/>
      <c r="AR251" s="211"/>
      <c r="AS251" s="211"/>
      <c r="AT251" s="211"/>
    </row>
    <row r="252" spans="1:46" s="212" customFormat="1">
      <c r="A252" s="211"/>
      <c r="B252" s="211"/>
      <c r="C252" s="275"/>
      <c r="F252" s="211"/>
      <c r="G252" s="211"/>
      <c r="H252" s="211"/>
      <c r="I252" s="272"/>
      <c r="J252" s="211"/>
      <c r="K252" s="272"/>
      <c r="L252" s="211"/>
      <c r="M252" s="272"/>
      <c r="N252" s="211"/>
      <c r="O252" s="272"/>
      <c r="P252" s="211"/>
      <c r="Q252" s="272"/>
      <c r="R252" s="211"/>
      <c r="S252" s="272"/>
      <c r="T252" s="211"/>
      <c r="U252" s="272"/>
      <c r="V252" s="211"/>
      <c r="W252" s="211"/>
      <c r="X252" s="211"/>
      <c r="Y252" s="211"/>
      <c r="Z252" s="211"/>
      <c r="AA252" s="211"/>
      <c r="AB252" s="211"/>
      <c r="AC252" s="211"/>
      <c r="AD252" s="211"/>
      <c r="AE252" s="211"/>
      <c r="AF252" s="211"/>
      <c r="AG252" s="211"/>
      <c r="AH252" s="211"/>
      <c r="AI252" s="211"/>
      <c r="AJ252" s="211"/>
      <c r="AK252" s="211"/>
      <c r="AL252" s="272"/>
      <c r="AM252" s="211"/>
      <c r="AN252" s="211"/>
      <c r="AO252" s="272"/>
      <c r="AP252" s="217"/>
      <c r="AQ252" s="211"/>
      <c r="AR252" s="211"/>
      <c r="AS252" s="211"/>
      <c r="AT252" s="211"/>
    </row>
    <row r="253" spans="1:46" s="212" customFormat="1">
      <c r="A253" s="211"/>
      <c r="B253" s="211"/>
      <c r="C253" s="275"/>
      <c r="F253" s="211"/>
      <c r="G253" s="211"/>
      <c r="H253" s="211"/>
      <c r="I253" s="272"/>
      <c r="J253" s="211"/>
      <c r="K253" s="272"/>
      <c r="L253" s="211"/>
      <c r="M253" s="272"/>
      <c r="N253" s="211"/>
      <c r="O253" s="272"/>
      <c r="P253" s="211"/>
      <c r="Q253" s="272"/>
      <c r="R253" s="211"/>
      <c r="S253" s="272"/>
      <c r="T253" s="211"/>
      <c r="U253" s="272"/>
      <c r="V253" s="211"/>
      <c r="W253" s="211"/>
      <c r="X253" s="211"/>
      <c r="Y253" s="211"/>
      <c r="Z253" s="211"/>
      <c r="AA253" s="211"/>
      <c r="AB253" s="211"/>
      <c r="AC253" s="211"/>
      <c r="AD253" s="211"/>
      <c r="AE253" s="211"/>
      <c r="AF253" s="211"/>
      <c r="AG253" s="211"/>
      <c r="AH253" s="211"/>
      <c r="AI253" s="211"/>
      <c r="AJ253" s="211"/>
      <c r="AK253" s="211"/>
      <c r="AL253" s="272"/>
      <c r="AM253" s="211"/>
      <c r="AN253" s="211"/>
      <c r="AO253" s="272"/>
      <c r="AP253" s="217"/>
      <c r="AQ253" s="211"/>
      <c r="AR253" s="211"/>
      <c r="AS253" s="211"/>
      <c r="AT253" s="211"/>
    </row>
    <row r="254" spans="1:46" s="212" customFormat="1">
      <c r="A254" s="211"/>
      <c r="B254" s="211"/>
      <c r="C254" s="275"/>
      <c r="F254" s="211"/>
      <c r="G254" s="211"/>
      <c r="H254" s="211"/>
      <c r="I254" s="272"/>
      <c r="J254" s="211"/>
      <c r="K254" s="272"/>
      <c r="L254" s="211"/>
      <c r="M254" s="272"/>
      <c r="N254" s="211"/>
      <c r="O254" s="272"/>
      <c r="P254" s="211"/>
      <c r="Q254" s="272"/>
      <c r="R254" s="211"/>
      <c r="S254" s="272"/>
      <c r="T254" s="211"/>
      <c r="U254" s="272"/>
      <c r="V254" s="211"/>
      <c r="W254" s="211"/>
      <c r="X254" s="211"/>
      <c r="Y254" s="211"/>
      <c r="Z254" s="211"/>
      <c r="AA254" s="211"/>
      <c r="AB254" s="211"/>
      <c r="AC254" s="211"/>
      <c r="AD254" s="211"/>
      <c r="AE254" s="211"/>
      <c r="AF254" s="211"/>
      <c r="AG254" s="211"/>
      <c r="AH254" s="211"/>
      <c r="AI254" s="211"/>
      <c r="AJ254" s="211"/>
      <c r="AK254" s="211"/>
      <c r="AL254" s="272"/>
      <c r="AM254" s="211"/>
      <c r="AN254" s="211"/>
      <c r="AO254" s="272"/>
      <c r="AP254" s="217"/>
      <c r="AQ254" s="211"/>
      <c r="AR254" s="211"/>
      <c r="AS254" s="211"/>
      <c r="AT254" s="211"/>
    </row>
    <row r="255" spans="1:46" s="212" customFormat="1">
      <c r="A255" s="211"/>
      <c r="B255" s="211"/>
      <c r="C255" s="275"/>
      <c r="F255" s="211"/>
      <c r="G255" s="211"/>
      <c r="H255" s="211"/>
      <c r="I255" s="272"/>
      <c r="J255" s="211"/>
      <c r="K255" s="272"/>
      <c r="L255" s="211"/>
      <c r="M255" s="272"/>
      <c r="N255" s="211"/>
      <c r="O255" s="272"/>
      <c r="P255" s="211"/>
      <c r="Q255" s="272"/>
      <c r="R255" s="211"/>
      <c r="S255" s="272"/>
      <c r="T255" s="211"/>
      <c r="U255" s="272"/>
      <c r="V255" s="211"/>
      <c r="W255" s="211"/>
      <c r="X255" s="211"/>
      <c r="Y255" s="211"/>
      <c r="Z255" s="211"/>
      <c r="AA255" s="211"/>
      <c r="AB255" s="211"/>
      <c r="AC255" s="211"/>
      <c r="AD255" s="211"/>
      <c r="AE255" s="211"/>
      <c r="AF255" s="211"/>
      <c r="AG255" s="211"/>
      <c r="AH255" s="211"/>
      <c r="AI255" s="211"/>
      <c r="AJ255" s="211"/>
      <c r="AK255" s="211"/>
      <c r="AL255" s="272"/>
      <c r="AM255" s="211"/>
      <c r="AN255" s="211"/>
      <c r="AO255" s="272"/>
      <c r="AP255" s="217"/>
      <c r="AQ255" s="211"/>
      <c r="AR255" s="211"/>
      <c r="AS255" s="211"/>
      <c r="AT255" s="211"/>
    </row>
    <row r="256" spans="1:46" s="212" customFormat="1">
      <c r="A256" s="211"/>
      <c r="B256" s="211"/>
      <c r="C256" s="275"/>
      <c r="F256" s="211"/>
      <c r="G256" s="211"/>
      <c r="H256" s="211"/>
      <c r="I256" s="272"/>
      <c r="J256" s="211"/>
      <c r="K256" s="272"/>
      <c r="L256" s="211"/>
      <c r="M256" s="272"/>
      <c r="N256" s="211"/>
      <c r="O256" s="272"/>
      <c r="P256" s="211"/>
      <c r="Q256" s="272"/>
      <c r="R256" s="211"/>
      <c r="S256" s="272"/>
      <c r="T256" s="211"/>
      <c r="U256" s="272"/>
      <c r="V256" s="211"/>
      <c r="W256" s="211"/>
      <c r="X256" s="211"/>
      <c r="Y256" s="211"/>
      <c r="Z256" s="211"/>
      <c r="AA256" s="211"/>
      <c r="AB256" s="211"/>
      <c r="AC256" s="211"/>
      <c r="AD256" s="211"/>
      <c r="AE256" s="211"/>
      <c r="AF256" s="211"/>
      <c r="AG256" s="211"/>
      <c r="AH256" s="211"/>
      <c r="AI256" s="211"/>
      <c r="AJ256" s="211"/>
      <c r="AK256" s="211"/>
      <c r="AL256" s="272"/>
      <c r="AM256" s="211"/>
      <c r="AN256" s="211"/>
      <c r="AO256" s="272"/>
      <c r="AP256" s="217"/>
      <c r="AQ256" s="211"/>
      <c r="AR256" s="211"/>
      <c r="AS256" s="211"/>
      <c r="AT256" s="211"/>
    </row>
  </sheetData>
  <mergeCells count="52">
    <mergeCell ref="B228:G228"/>
    <mergeCell ref="B79:G79"/>
    <mergeCell ref="D92:G92"/>
    <mergeCell ref="D90:G90"/>
    <mergeCell ref="D86:G86"/>
    <mergeCell ref="B174:G174"/>
    <mergeCell ref="B175:D175"/>
    <mergeCell ref="E175:G175"/>
    <mergeCell ref="D173:G173"/>
    <mergeCell ref="B27:G27"/>
    <mergeCell ref="B7:B26"/>
    <mergeCell ref="F25:F26"/>
    <mergeCell ref="D126:G126"/>
    <mergeCell ref="D68:G68"/>
    <mergeCell ref="B69:G69"/>
    <mergeCell ref="D63:G63"/>
    <mergeCell ref="D54:G54"/>
    <mergeCell ref="D59:G59"/>
    <mergeCell ref="D61:G61"/>
    <mergeCell ref="D83:G83"/>
    <mergeCell ref="B6:G6"/>
    <mergeCell ref="F17:F20"/>
    <mergeCell ref="F12:F16"/>
    <mergeCell ref="F7:F11"/>
    <mergeCell ref="F21:F22"/>
    <mergeCell ref="F23:F24"/>
    <mergeCell ref="D146:G146"/>
    <mergeCell ref="D108:G108"/>
    <mergeCell ref="D155:G155"/>
    <mergeCell ref="D162:G162"/>
    <mergeCell ref="D124:G124"/>
    <mergeCell ref="D122:G122"/>
    <mergeCell ref="D119:G119"/>
    <mergeCell ref="B187:G187"/>
    <mergeCell ref="B188:G188"/>
    <mergeCell ref="B186:G186"/>
    <mergeCell ref="B78:G78"/>
    <mergeCell ref="B80:G80"/>
    <mergeCell ref="B213:G213"/>
    <mergeCell ref="D205:D210"/>
    <mergeCell ref="E205:E206"/>
    <mergeCell ref="E207:E208"/>
    <mergeCell ref="E209:E210"/>
    <mergeCell ref="D211:D212"/>
    <mergeCell ref="E211:E212"/>
    <mergeCell ref="D160:G160"/>
    <mergeCell ref="D158:G158"/>
    <mergeCell ref="F195:F197"/>
    <mergeCell ref="B189:D189"/>
    <mergeCell ref="E189:G189"/>
    <mergeCell ref="D99:G99"/>
    <mergeCell ref="D103:G103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07AF-33B1-4406-9515-2FB17C8C6D60}">
  <sheetPr>
    <tabColor rgb="FF002060"/>
  </sheetPr>
  <dimension ref="B1:AO27"/>
  <sheetViews>
    <sheetView workbookViewId="0"/>
  </sheetViews>
  <sheetFormatPr baseColWidth="10" defaultColWidth="8.83203125" defaultRowHeight="17"/>
  <cols>
    <col min="1" max="1" width="1.83203125" customWidth="1"/>
    <col min="6" max="6" width="11.6640625" customWidth="1"/>
    <col min="7" max="7" width="21.1640625" customWidth="1"/>
    <col min="8" max="8" width="11.83203125" customWidth="1"/>
    <col min="9" max="9" width="12.1640625" customWidth="1"/>
    <col min="10" max="10" width="11.6640625" customWidth="1"/>
    <col min="11" max="11" width="12.6640625" customWidth="1"/>
    <col min="12" max="18" width="10.6640625" customWidth="1"/>
    <col min="19" max="19" width="12.6640625" customWidth="1"/>
    <col min="20" max="26" width="10.6640625" customWidth="1"/>
    <col min="27" max="27" width="12.6640625" customWidth="1"/>
    <col min="28" max="28" width="10.6640625" customWidth="1"/>
    <col min="29" max="29" width="12.6640625" customWidth="1"/>
    <col min="30" max="30" width="10.6640625" customWidth="1"/>
    <col min="31" max="31" width="12.6640625" customWidth="1"/>
    <col min="32" max="32" width="10.6640625" customWidth="1"/>
    <col min="33" max="33" width="12.6640625" style="276" customWidth="1"/>
    <col min="34" max="34" width="10.6640625" customWidth="1"/>
    <col min="35" max="36" width="12.6640625" customWidth="1"/>
    <col min="37" max="37" width="11.33203125" style="254" bestFit="1" customWidth="1"/>
  </cols>
  <sheetData>
    <row r="1" spans="2:41" ht="18" customHeight="1"/>
    <row r="2" spans="2:41" ht="27">
      <c r="B2" s="277" t="s">
        <v>318</v>
      </c>
    </row>
    <row r="3" spans="2:41" ht="18" customHeight="1">
      <c r="B3" s="277"/>
    </row>
    <row r="4" spans="2:41" ht="18" customHeight="1">
      <c r="K4" s="278" t="s">
        <v>319</v>
      </c>
    </row>
    <row r="5" spans="2:41" s="5" customFormat="1" ht="52.5" customHeight="1" thickBot="1">
      <c r="B5" s="11"/>
      <c r="C5" s="11" t="s">
        <v>2</v>
      </c>
      <c r="D5" s="11" t="s">
        <v>3</v>
      </c>
      <c r="E5" s="12" t="s">
        <v>4</v>
      </c>
      <c r="F5" s="12" t="s">
        <v>5</v>
      </c>
      <c r="G5" s="11" t="s">
        <v>6</v>
      </c>
      <c r="H5" s="14" t="s">
        <v>7</v>
      </c>
      <c r="I5" s="14" t="s">
        <v>8</v>
      </c>
      <c r="J5" s="14" t="s">
        <v>9</v>
      </c>
      <c r="K5" s="18" t="s">
        <v>10</v>
      </c>
      <c r="L5" s="279" t="s">
        <v>11</v>
      </c>
      <c r="M5" s="14" t="s">
        <v>12</v>
      </c>
      <c r="N5" s="17" t="s">
        <v>13</v>
      </c>
      <c r="O5" s="14" t="s">
        <v>14</v>
      </c>
      <c r="P5" s="17" t="s">
        <v>15</v>
      </c>
      <c r="Q5" s="14" t="s">
        <v>16</v>
      </c>
      <c r="R5" s="17" t="s">
        <v>17</v>
      </c>
      <c r="S5" s="18" t="s">
        <v>18</v>
      </c>
      <c r="T5" s="280" t="s">
        <v>19</v>
      </c>
      <c r="U5" s="14" t="s">
        <v>20</v>
      </c>
      <c r="V5" s="17" t="s">
        <v>21</v>
      </c>
      <c r="W5" s="14" t="s">
        <v>22</v>
      </c>
      <c r="X5" s="17" t="s">
        <v>23</v>
      </c>
      <c r="Y5" s="14" t="s">
        <v>24</v>
      </c>
      <c r="Z5" s="17" t="s">
        <v>25</v>
      </c>
      <c r="AA5" s="18" t="s">
        <v>26</v>
      </c>
      <c r="AB5" s="280" t="s">
        <v>27</v>
      </c>
      <c r="AC5" s="14" t="s">
        <v>28</v>
      </c>
      <c r="AD5" s="17" t="s">
        <v>29</v>
      </c>
      <c r="AE5" s="14" t="s">
        <v>30</v>
      </c>
      <c r="AF5" s="17" t="s">
        <v>31</v>
      </c>
      <c r="AG5" s="281" t="s">
        <v>320</v>
      </c>
      <c r="AH5" s="17" t="s">
        <v>33</v>
      </c>
      <c r="AI5" s="18" t="s">
        <v>34</v>
      </c>
      <c r="AJ5" s="282" t="s">
        <v>36</v>
      </c>
      <c r="AK5" s="19"/>
    </row>
    <row r="6" spans="2:41" s="10" customFormat="1" ht="18" customHeight="1" thickTop="1">
      <c r="B6" s="1177">
        <v>1</v>
      </c>
      <c r="C6" s="1111" t="s">
        <v>38</v>
      </c>
      <c r="D6" s="1109" t="s">
        <v>39</v>
      </c>
      <c r="E6" s="1109" t="s">
        <v>39</v>
      </c>
      <c r="F6" s="1123" t="s">
        <v>40</v>
      </c>
      <c r="G6" s="283" t="s">
        <v>41</v>
      </c>
      <c r="H6" s="57">
        <f>26437209/1.1</f>
        <v>24033826.363636363</v>
      </c>
      <c r="I6" s="57">
        <f>24858650/1.1</f>
        <v>22598772.727272727</v>
      </c>
      <c r="J6" s="57">
        <f>26871649/1.1</f>
        <v>24428771.818181816</v>
      </c>
      <c r="K6" s="62">
        <f t="shared" ref="K6:K18" si="0">SUM(H6:J6)</f>
        <v>71061370.909090906</v>
      </c>
      <c r="L6" s="284">
        <f t="shared" ref="L6:L16" si="1">K6/$K$20</f>
        <v>0.42263467054442805</v>
      </c>
      <c r="M6" s="285">
        <v>26823809</v>
      </c>
      <c r="N6" s="61">
        <f t="shared" ref="N6:N18" si="2">M6/$M$20</f>
        <v>0.41687677593312084</v>
      </c>
      <c r="O6" s="57">
        <v>23911793</v>
      </c>
      <c r="P6" s="61">
        <f t="shared" ref="P6:P18" si="3">O6/$O$20</f>
        <v>0.42051505520943383</v>
      </c>
      <c r="Q6" s="57">
        <v>27962143</v>
      </c>
      <c r="R6" s="61">
        <f t="shared" ref="R6:R18" si="4">Q6/$Q$20</f>
        <v>0.43203720414305524</v>
      </c>
      <c r="S6" s="62">
        <f>M6+O6+Q6</f>
        <v>78697745</v>
      </c>
      <c r="T6" s="286">
        <f t="shared" ref="T6:T18" si="5">S6/$S$20</f>
        <v>0.42326678793562794</v>
      </c>
      <c r="U6" s="57">
        <v>32399302</v>
      </c>
      <c r="V6" s="61">
        <f t="shared" ref="V6:V18" si="6">U6/$U$20</f>
        <v>0.43850198593572026</v>
      </c>
      <c r="W6" s="57">
        <v>28922248</v>
      </c>
      <c r="X6" s="61">
        <f t="shared" ref="X6:X18" si="7">W6/W$20</f>
        <v>0.4364074130803075</v>
      </c>
      <c r="Y6" s="57">
        <v>32211285</v>
      </c>
      <c r="Z6" s="61">
        <f t="shared" ref="Z6:Z20" si="8">Y6/Y$20</f>
        <v>0.43657955072212945</v>
      </c>
      <c r="AA6" s="62">
        <f>SUM(U6+W6+Y6)</f>
        <v>93532835</v>
      </c>
      <c r="AB6" s="286">
        <f>AA6/AA$20</f>
        <v>0.43719015647750081</v>
      </c>
      <c r="AC6" s="63">
        <v>27161257</v>
      </c>
      <c r="AD6" s="287">
        <f t="shared" ref="AD6:AD25" si="9">AC6/AC$20</f>
        <v>0.42895800310149446</v>
      </c>
      <c r="AE6" s="63">
        <v>28023935</v>
      </c>
      <c r="AF6" s="61">
        <f t="shared" ref="AF6:AH16" si="10">AE6/AE$20</f>
        <v>0.42484326477767526</v>
      </c>
      <c r="AG6" s="64">
        <v>31133762</v>
      </c>
      <c r="AH6" s="61">
        <f t="shared" si="10"/>
        <v>0.40506104894590922</v>
      </c>
      <c r="AI6" s="62">
        <f>SUM(AC6+AE6+AG6)</f>
        <v>86318954</v>
      </c>
      <c r="AJ6" s="288">
        <f>SUM(AA6,S6,K6,AI6)</f>
        <v>329610904.90909088</v>
      </c>
      <c r="AK6" s="289" t="e">
        <f>AJ6-#REF!</f>
        <v>#REF!</v>
      </c>
      <c r="AL6" s="28"/>
      <c r="AM6" s="28"/>
      <c r="AN6" s="28"/>
      <c r="AO6" s="28"/>
    </row>
    <row r="7" spans="2:41" s="10" customFormat="1" ht="18" customHeight="1">
      <c r="B7" s="1178"/>
      <c r="C7" s="1112"/>
      <c r="D7" s="1033"/>
      <c r="E7" s="1033"/>
      <c r="F7" s="1179"/>
      <c r="G7" s="290" t="s">
        <v>42</v>
      </c>
      <c r="H7" s="31">
        <f>6228090/1.1</f>
        <v>5661900</v>
      </c>
      <c r="I7" s="31">
        <f>5452920/1.1</f>
        <v>4957200</v>
      </c>
      <c r="J7" s="31">
        <f>6430050/1.1</f>
        <v>5845499.9999999991</v>
      </c>
      <c r="K7" s="37">
        <f t="shared" si="0"/>
        <v>16464600</v>
      </c>
      <c r="L7" s="291">
        <f t="shared" si="1"/>
        <v>9.7922552121149475E-2</v>
      </c>
      <c r="M7" s="120">
        <v>5977800</v>
      </c>
      <c r="N7" s="90">
        <f t="shared" si="2"/>
        <v>9.2902763778738864E-2</v>
      </c>
      <c r="O7" s="31">
        <v>5346000</v>
      </c>
      <c r="P7" s="61">
        <f t="shared" si="3"/>
        <v>9.401526205707926E-2</v>
      </c>
      <c r="Q7" s="31">
        <v>5278500</v>
      </c>
      <c r="R7" s="61">
        <f t="shared" si="4"/>
        <v>8.1556995902249588E-2</v>
      </c>
      <c r="S7" s="37">
        <f>M7+O7+Q7</f>
        <v>16602300</v>
      </c>
      <c r="T7" s="292">
        <f t="shared" si="5"/>
        <v>8.929356480727213E-2</v>
      </c>
      <c r="U7" s="31">
        <v>5896800</v>
      </c>
      <c r="V7" s="61">
        <f t="shared" si="6"/>
        <v>7.9809080784078473E-2</v>
      </c>
      <c r="W7" s="31">
        <v>5540400</v>
      </c>
      <c r="X7" s="61">
        <f t="shared" si="7"/>
        <v>8.3599021467146525E-2</v>
      </c>
      <c r="Y7" s="31">
        <v>5732100</v>
      </c>
      <c r="Z7" s="61">
        <f t="shared" si="8"/>
        <v>7.7690711273838295E-2</v>
      </c>
      <c r="AA7" s="37">
        <f t="shared" ref="AA7:AA25" si="11">SUM(U7+W7+Y7)</f>
        <v>17169300</v>
      </c>
      <c r="AB7" s="292">
        <f>AA7/AA$20</f>
        <v>8.025255466285347E-2</v>
      </c>
      <c r="AC7" s="38">
        <v>5086800</v>
      </c>
      <c r="AD7" s="61">
        <f t="shared" si="9"/>
        <v>8.0335883209554038E-2</v>
      </c>
      <c r="AE7" s="38">
        <v>5005800</v>
      </c>
      <c r="AF7" s="61">
        <f t="shared" si="10"/>
        <v>7.5888001268347466E-2</v>
      </c>
      <c r="AG7" s="39">
        <v>5556600</v>
      </c>
      <c r="AH7" s="61">
        <f t="shared" si="10"/>
        <v>7.2293294481175746E-2</v>
      </c>
      <c r="AI7" s="37">
        <f>SUM(AC7+AE7+AG7)</f>
        <v>15649200</v>
      </c>
      <c r="AJ7" s="288">
        <f t="shared" ref="AJ7:AJ21" si="12">SUM(AA7,S7,K7,AI7)</f>
        <v>65885400</v>
      </c>
      <c r="AK7" s="289" t="e">
        <f>AJ7-#REF!</f>
        <v>#REF!</v>
      </c>
      <c r="AL7" s="28"/>
      <c r="AM7" s="28"/>
      <c r="AN7" s="28"/>
      <c r="AO7" s="28"/>
    </row>
    <row r="8" spans="2:41" s="10" customFormat="1" ht="18" customHeight="1">
      <c r="B8" s="1178"/>
      <c r="C8" s="1112"/>
      <c r="D8" s="1033"/>
      <c r="E8" s="1033"/>
      <c r="F8" s="1179"/>
      <c r="G8" s="290" t="s">
        <v>43</v>
      </c>
      <c r="H8" s="31">
        <f>1146000/1.1</f>
        <v>1041818.1818181818</v>
      </c>
      <c r="I8" s="31">
        <f>1403250/1.1-1</f>
        <v>1275680.8181818181</v>
      </c>
      <c r="J8" s="31">
        <f>749250/1.1</f>
        <v>681136.36363636353</v>
      </c>
      <c r="K8" s="37">
        <f t="shared" si="0"/>
        <v>2998635.3636363633</v>
      </c>
      <c r="L8" s="291">
        <f t="shared" si="1"/>
        <v>1.7834264281428265E-2</v>
      </c>
      <c r="M8" s="120">
        <v>1336364</v>
      </c>
      <c r="N8" s="90">
        <f t="shared" si="2"/>
        <v>2.076882950490324E-2</v>
      </c>
      <c r="O8" s="31">
        <v>1200682</v>
      </c>
      <c r="P8" s="61">
        <f t="shared" si="3"/>
        <v>2.1115307309618039E-2</v>
      </c>
      <c r="Q8" s="31">
        <v>1001591</v>
      </c>
      <c r="R8" s="61">
        <f t="shared" si="4"/>
        <v>1.5475372375244874E-2</v>
      </c>
      <c r="S8" s="37">
        <f>M8+O8+Q8</f>
        <v>3538637</v>
      </c>
      <c r="T8" s="292">
        <f t="shared" si="5"/>
        <v>1.9032152911880342E-2</v>
      </c>
      <c r="U8" s="31">
        <v>1076591</v>
      </c>
      <c r="V8" s="61">
        <f t="shared" si="6"/>
        <v>1.4570909322074995E-2</v>
      </c>
      <c r="W8" s="31">
        <v>1088182</v>
      </c>
      <c r="X8" s="61">
        <f t="shared" si="7"/>
        <v>1.6419563637672812E-2</v>
      </c>
      <c r="Y8" s="31">
        <v>1197955</v>
      </c>
      <c r="Z8" s="61">
        <f t="shared" si="8"/>
        <v>1.6236628116057108E-2</v>
      </c>
      <c r="AA8" s="37">
        <f t="shared" si="11"/>
        <v>3362728</v>
      </c>
      <c r="AB8" s="292">
        <f>AA8/AA$20</f>
        <v>1.5718026514552598E-2</v>
      </c>
      <c r="AC8" s="38">
        <v>990000</v>
      </c>
      <c r="AD8" s="61">
        <f t="shared" si="9"/>
        <v>1.5635079888625166E-2</v>
      </c>
      <c r="AE8" s="38">
        <v>952500</v>
      </c>
      <c r="AF8" s="61">
        <f t="shared" si="10"/>
        <v>1.4439913941448113E-2</v>
      </c>
      <c r="AG8" s="39">
        <v>842727</v>
      </c>
      <c r="AH8" s="61">
        <f t="shared" si="10"/>
        <v>1.0964170747982182E-2</v>
      </c>
      <c r="AI8" s="37">
        <f>SUM(AC8+AE8+AG8)</f>
        <v>2785227</v>
      </c>
      <c r="AJ8" s="288">
        <f t="shared" si="12"/>
        <v>12685227.363636363</v>
      </c>
      <c r="AK8" s="289" t="e">
        <f>AJ8-#REF!</f>
        <v>#REF!</v>
      </c>
      <c r="AL8" s="28"/>
      <c r="AM8" s="28"/>
      <c r="AN8" s="28"/>
      <c r="AO8" s="28"/>
    </row>
    <row r="9" spans="2:41" s="10" customFormat="1" ht="18" customHeight="1">
      <c r="B9" s="1178"/>
      <c r="C9" s="1112"/>
      <c r="D9" s="1033"/>
      <c r="E9" s="1033"/>
      <c r="F9" s="1179"/>
      <c r="G9" s="143" t="s">
        <v>44</v>
      </c>
      <c r="H9" s="31">
        <v>0</v>
      </c>
      <c r="I9" s="31">
        <v>0</v>
      </c>
      <c r="J9" s="31">
        <v>0</v>
      </c>
      <c r="K9" s="37">
        <f t="shared" si="0"/>
        <v>0</v>
      </c>
      <c r="L9" s="291">
        <f t="shared" si="1"/>
        <v>0</v>
      </c>
      <c r="M9" s="293">
        <v>207273</v>
      </c>
      <c r="N9" s="90">
        <f t="shared" si="2"/>
        <v>3.2212912035716385E-3</v>
      </c>
      <c r="O9" s="31">
        <v>138182</v>
      </c>
      <c r="P9" s="61">
        <f t="shared" si="3"/>
        <v>2.430081732430102E-3</v>
      </c>
      <c r="Q9" s="31">
        <v>207273</v>
      </c>
      <c r="R9" s="61">
        <f t="shared" si="4"/>
        <v>3.2025316305099895E-3</v>
      </c>
      <c r="S9" s="37">
        <f>M9+O9+Q9</f>
        <v>552728</v>
      </c>
      <c r="T9" s="292">
        <f t="shared" si="5"/>
        <v>2.9727841015277346E-3</v>
      </c>
      <c r="U9" s="31">
        <v>69091</v>
      </c>
      <c r="V9" s="61">
        <f t="shared" si="6"/>
        <v>9.3509856200867689E-4</v>
      </c>
      <c r="W9" s="31">
        <v>69091</v>
      </c>
      <c r="X9" s="61">
        <f t="shared" si="7"/>
        <v>1.0425131745337198E-3</v>
      </c>
      <c r="Y9" s="31">
        <v>0</v>
      </c>
      <c r="Z9" s="61">
        <f t="shared" si="8"/>
        <v>0</v>
      </c>
      <c r="AA9" s="37">
        <f t="shared" si="11"/>
        <v>138182</v>
      </c>
      <c r="AB9" s="292">
        <f>AA9/AA$20</f>
        <v>6.4588879618985163E-4</v>
      </c>
      <c r="AC9" s="38">
        <v>0</v>
      </c>
      <c r="AD9" s="61">
        <f t="shared" si="9"/>
        <v>0</v>
      </c>
      <c r="AE9" s="38">
        <v>0</v>
      </c>
      <c r="AF9" s="61">
        <f t="shared" si="10"/>
        <v>0</v>
      </c>
      <c r="AG9" s="39">
        <v>0</v>
      </c>
      <c r="AH9" s="61">
        <f t="shared" si="10"/>
        <v>0</v>
      </c>
      <c r="AI9" s="37">
        <f>SUM(AC9+AE9+AG9)</f>
        <v>0</v>
      </c>
      <c r="AJ9" s="288">
        <f t="shared" si="12"/>
        <v>690910</v>
      </c>
      <c r="AK9" s="289" t="e">
        <f>AJ9-#REF!</f>
        <v>#REF!</v>
      </c>
      <c r="AL9" s="28"/>
      <c r="AM9" s="28"/>
      <c r="AN9" s="28"/>
      <c r="AO9" s="28"/>
    </row>
    <row r="10" spans="2:41" s="10" customFormat="1" ht="18" customHeight="1">
      <c r="B10" s="1178"/>
      <c r="C10" s="1112"/>
      <c r="D10" s="1033"/>
      <c r="E10" s="1033"/>
      <c r="F10" s="1179"/>
      <c r="G10" s="294" t="s">
        <v>45</v>
      </c>
      <c r="H10" s="295">
        <f>SUM(H6:H9)</f>
        <v>30737544.545454547</v>
      </c>
      <c r="I10" s="295">
        <f>SUM(I6:I9)</f>
        <v>28831653.545454543</v>
      </c>
      <c r="J10" s="295">
        <f>SUM(J6:J9)</f>
        <v>30955408.18181818</v>
      </c>
      <c r="K10" s="295">
        <f>SUM(K6:K9)</f>
        <v>90524606.272727266</v>
      </c>
      <c r="L10" s="296">
        <f t="shared" si="1"/>
        <v>0.53839148694700578</v>
      </c>
      <c r="M10" s="295">
        <f>SUM(M6:M9)</f>
        <v>34345246</v>
      </c>
      <c r="N10" s="297">
        <f t="shared" si="2"/>
        <v>0.53376966042033458</v>
      </c>
      <c r="O10" s="295">
        <f>SUM(O6:O9)</f>
        <v>30596657</v>
      </c>
      <c r="P10" s="297">
        <f t="shared" si="3"/>
        <v>0.53807570630856127</v>
      </c>
      <c r="Q10" s="295">
        <f>SUM(Q6:Q9)</f>
        <v>34449507</v>
      </c>
      <c r="R10" s="297">
        <f t="shared" si="4"/>
        <v>0.53227210405105962</v>
      </c>
      <c r="S10" s="295">
        <f>SUM(S6:S9)</f>
        <v>99391410</v>
      </c>
      <c r="T10" s="296">
        <f t="shared" si="5"/>
        <v>0.53456528975630813</v>
      </c>
      <c r="U10" s="295">
        <f>SUM(U6:U9)</f>
        <v>39441784</v>
      </c>
      <c r="V10" s="297">
        <f t="shared" si="6"/>
        <v>0.53381707460388239</v>
      </c>
      <c r="W10" s="295">
        <f>SUM(W6:W9)</f>
        <v>35619921</v>
      </c>
      <c r="X10" s="297">
        <f t="shared" si="7"/>
        <v>0.53746851135966056</v>
      </c>
      <c r="Y10" s="295">
        <f>SUM(Y6:Y9)</f>
        <v>39141340</v>
      </c>
      <c r="Z10" s="297">
        <f t="shared" si="8"/>
        <v>0.5305068901120249</v>
      </c>
      <c r="AA10" s="295">
        <f t="shared" si="11"/>
        <v>114203045</v>
      </c>
      <c r="AB10" s="296">
        <f>AA10/$S$20</f>
        <v>0.61422796840770943</v>
      </c>
      <c r="AC10" s="298">
        <f>SUM(AC6:AC9)</f>
        <v>33238057</v>
      </c>
      <c r="AD10" s="297">
        <f t="shared" si="9"/>
        <v>0.52492896619967366</v>
      </c>
      <c r="AE10" s="298">
        <f>SUM(AE6:AE9)</f>
        <v>33982235</v>
      </c>
      <c r="AF10" s="297">
        <f t="shared" si="10"/>
        <v>0.51517117998747086</v>
      </c>
      <c r="AG10" s="299">
        <f>SUM(AG6:AG9)</f>
        <v>37533089</v>
      </c>
      <c r="AH10" s="297">
        <f t="shared" si="10"/>
        <v>0.48831851417506711</v>
      </c>
      <c r="AI10" s="295">
        <f>SUM(AI6:AI9)</f>
        <v>104753381</v>
      </c>
      <c r="AJ10" s="288">
        <f t="shared" si="12"/>
        <v>408872442.27272725</v>
      </c>
      <c r="AK10" s="289" t="e">
        <f>AJ10-#REF!</f>
        <v>#REF!</v>
      </c>
      <c r="AL10" s="28"/>
      <c r="AM10" s="28"/>
      <c r="AN10" s="28"/>
      <c r="AO10" s="28"/>
    </row>
    <row r="11" spans="2:41" s="10" customFormat="1" ht="18" customHeight="1">
      <c r="B11" s="1178">
        <v>2</v>
      </c>
      <c r="C11" s="1112"/>
      <c r="D11" s="1033"/>
      <c r="E11" s="1033"/>
      <c r="F11" s="1180" t="s">
        <v>46</v>
      </c>
      <c r="G11" s="290" t="s">
        <v>41</v>
      </c>
      <c r="H11" s="31">
        <f>23767165/1.1</f>
        <v>21606513.636363633</v>
      </c>
      <c r="I11" s="31">
        <f>22906077/1.1-1</f>
        <v>20823705.363636363</v>
      </c>
      <c r="J11" s="31">
        <f>23652433/1.1</f>
        <v>21502211.818181816</v>
      </c>
      <c r="K11" s="37">
        <f t="shared" si="0"/>
        <v>63932430.818181813</v>
      </c>
      <c r="L11" s="291">
        <f t="shared" si="1"/>
        <v>0.38023558355655113</v>
      </c>
      <c r="M11" s="300">
        <v>23402595</v>
      </c>
      <c r="N11" s="90">
        <f t="shared" si="2"/>
        <v>0.36370667387575617</v>
      </c>
      <c r="O11" s="31">
        <v>22005860</v>
      </c>
      <c r="P11" s="90">
        <f t="shared" si="3"/>
        <v>0.38699713705413358</v>
      </c>
      <c r="Q11" s="31">
        <v>25043165</v>
      </c>
      <c r="R11" s="90">
        <f t="shared" si="4"/>
        <v>0.38693668755979166</v>
      </c>
      <c r="S11" s="37">
        <f>M11+O11+Q11</f>
        <v>70451620</v>
      </c>
      <c r="T11" s="292">
        <f t="shared" si="5"/>
        <v>0.37891595117828908</v>
      </c>
      <c r="U11" s="31">
        <v>28415082</v>
      </c>
      <c r="V11" s="90">
        <f t="shared" si="6"/>
        <v>0.38457834330894963</v>
      </c>
      <c r="W11" s="31">
        <v>25286463</v>
      </c>
      <c r="X11" s="90">
        <f t="shared" si="7"/>
        <v>0.38154710186362112</v>
      </c>
      <c r="Y11" s="31">
        <v>28239172</v>
      </c>
      <c r="Z11" s="90">
        <f t="shared" si="8"/>
        <v>0.38274303631553158</v>
      </c>
      <c r="AA11" s="37">
        <f t="shared" si="11"/>
        <v>81940717</v>
      </c>
      <c r="AB11" s="292">
        <f>AA11/AA$20</f>
        <v>0.38300640504597783</v>
      </c>
      <c r="AC11" s="38">
        <v>24024131</v>
      </c>
      <c r="AD11" s="90">
        <f t="shared" si="9"/>
        <v>0.37941334084827921</v>
      </c>
      <c r="AE11" s="38">
        <v>24285323</v>
      </c>
      <c r="AF11" s="90">
        <f t="shared" si="10"/>
        <v>0.36816585213676695</v>
      </c>
      <c r="AG11" s="39">
        <v>28932348</v>
      </c>
      <c r="AH11" s="90">
        <f t="shared" si="10"/>
        <v>0.37641988878016341</v>
      </c>
      <c r="AI11" s="37">
        <f>SUM(AC11+AE11+AG11)</f>
        <v>77241802</v>
      </c>
      <c r="AJ11" s="288">
        <f t="shared" si="12"/>
        <v>293566569.81818181</v>
      </c>
      <c r="AK11" s="289" t="e">
        <f>AJ11-#REF!</f>
        <v>#REF!</v>
      </c>
      <c r="AL11" s="28"/>
      <c r="AM11" s="28"/>
      <c r="AN11" s="28"/>
      <c r="AO11" s="28"/>
    </row>
    <row r="12" spans="2:41" s="10" customFormat="1" ht="18" customHeight="1">
      <c r="B12" s="1178"/>
      <c r="C12" s="1112"/>
      <c r="D12" s="1033"/>
      <c r="E12" s="1033"/>
      <c r="F12" s="1180"/>
      <c r="G12" s="290" t="s">
        <v>42</v>
      </c>
      <c r="H12" s="31">
        <f>4235220/1.1</f>
        <v>3850199.9999999995</v>
      </c>
      <c r="I12" s="31">
        <f>4757940/1.1</f>
        <v>4325400</v>
      </c>
      <c r="J12" s="31">
        <f>4232250/1.1</f>
        <v>3847499.9999999995</v>
      </c>
      <c r="K12" s="37">
        <f t="shared" si="0"/>
        <v>12023100</v>
      </c>
      <c r="L12" s="291">
        <f t="shared" si="1"/>
        <v>7.1506907936287084E-2</v>
      </c>
      <c r="M12" s="300">
        <v>4608900</v>
      </c>
      <c r="N12" s="90">
        <f t="shared" si="2"/>
        <v>7.1628282642415192E-2</v>
      </c>
      <c r="O12" s="31">
        <v>3361500</v>
      </c>
      <c r="P12" s="90">
        <f t="shared" si="3"/>
        <v>5.911565720255741E-2</v>
      </c>
      <c r="Q12" s="31">
        <v>3952800</v>
      </c>
      <c r="R12" s="90">
        <f t="shared" si="4"/>
        <v>6.107388337641606E-2</v>
      </c>
      <c r="S12" s="37">
        <f>M12+O12+Q12</f>
        <v>11923200</v>
      </c>
      <c r="T12" s="292">
        <f t="shared" si="5"/>
        <v>6.4127562561215434E-2</v>
      </c>
      <c r="U12" s="31">
        <v>4260600</v>
      </c>
      <c r="V12" s="90">
        <f t="shared" si="6"/>
        <v>5.7664253423661091E-2</v>
      </c>
      <c r="W12" s="31">
        <v>3952800</v>
      </c>
      <c r="X12" s="90">
        <f t="shared" si="7"/>
        <v>5.9643746309894018E-2</v>
      </c>
      <c r="Y12" s="31">
        <v>4179600</v>
      </c>
      <c r="Z12" s="90">
        <f t="shared" si="8"/>
        <v>5.6648714579322509E-2</v>
      </c>
      <c r="AA12" s="37">
        <f t="shared" si="11"/>
        <v>12393000</v>
      </c>
      <c r="AB12" s="292">
        <f>AA12/AA$20</f>
        <v>5.7927225334564784E-2</v>
      </c>
      <c r="AC12" s="38">
        <v>3450600</v>
      </c>
      <c r="AD12" s="90">
        <f t="shared" si="9"/>
        <v>5.4495360266353536E-2</v>
      </c>
      <c r="AE12" s="38">
        <v>3645000</v>
      </c>
      <c r="AF12" s="90">
        <f t="shared" si="10"/>
        <v>5.5258253350738445E-2</v>
      </c>
      <c r="AG12" s="39">
        <v>4827600</v>
      </c>
      <c r="AH12" s="90">
        <f t="shared" si="10"/>
        <v>6.280875147344131E-2</v>
      </c>
      <c r="AI12" s="37">
        <f>SUM(AC12+AE12+AG12)</f>
        <v>11923200</v>
      </c>
      <c r="AJ12" s="288">
        <f t="shared" si="12"/>
        <v>48262500</v>
      </c>
      <c r="AK12" s="289" t="e">
        <f>AJ12-#REF!</f>
        <v>#REF!</v>
      </c>
      <c r="AL12" s="28"/>
      <c r="AM12" s="28"/>
      <c r="AN12" s="28"/>
      <c r="AO12" s="28"/>
    </row>
    <row r="13" spans="2:41" s="10" customFormat="1" ht="18" customHeight="1">
      <c r="B13" s="1178"/>
      <c r="C13" s="1112"/>
      <c r="D13" s="1033"/>
      <c r="E13" s="1033"/>
      <c r="F13" s="1180"/>
      <c r="G13" s="290" t="s">
        <v>43</v>
      </c>
      <c r="H13" s="31">
        <f>660000/1.1</f>
        <v>600000</v>
      </c>
      <c r="I13" s="31">
        <f>577500/1.1</f>
        <v>525000</v>
      </c>
      <c r="J13" s="31">
        <f>533863</f>
        <v>533863</v>
      </c>
      <c r="K13" s="37">
        <f t="shared" si="0"/>
        <v>1658863</v>
      </c>
      <c r="L13" s="291">
        <f t="shared" si="1"/>
        <v>9.8660215601561168E-3</v>
      </c>
      <c r="M13" s="300">
        <v>606136</v>
      </c>
      <c r="N13" s="90">
        <f t="shared" si="2"/>
        <v>9.4201394536099665E-3</v>
      </c>
      <c r="O13" s="31">
        <v>346364</v>
      </c>
      <c r="P13" s="90">
        <f t="shared" si="3"/>
        <v>6.0911900911219978E-3</v>
      </c>
      <c r="Q13" s="31">
        <v>308864</v>
      </c>
      <c r="R13" s="90">
        <f t="shared" si="4"/>
        <v>4.7721928544761615E-3</v>
      </c>
      <c r="S13" s="37">
        <f>M13+O13+Q13</f>
        <v>1261364</v>
      </c>
      <c r="T13" s="292">
        <f t="shared" si="5"/>
        <v>6.7841014847075404E-3</v>
      </c>
      <c r="U13" s="31">
        <v>456136</v>
      </c>
      <c r="V13" s="90">
        <f t="shared" si="6"/>
        <v>6.1734830539489924E-3</v>
      </c>
      <c r="W13" s="31">
        <v>308864</v>
      </c>
      <c r="X13" s="90">
        <f t="shared" si="7"/>
        <v>4.660444763271379E-3</v>
      </c>
      <c r="Y13" s="31">
        <v>444545</v>
      </c>
      <c r="Z13" s="90">
        <f t="shared" si="8"/>
        <v>6.0251944737929287E-3</v>
      </c>
      <c r="AA13" s="37">
        <f t="shared" si="11"/>
        <v>1209545</v>
      </c>
      <c r="AB13" s="292">
        <f>AA13/AA$20</f>
        <v>5.6536420372223159E-3</v>
      </c>
      <c r="AC13" s="38">
        <v>346364</v>
      </c>
      <c r="AD13" s="90">
        <f t="shared" si="9"/>
        <v>5.4701301116603712E-3</v>
      </c>
      <c r="AE13" s="38">
        <v>357955</v>
      </c>
      <c r="AF13" s="90">
        <f t="shared" si="10"/>
        <v>5.426603039276702E-3</v>
      </c>
      <c r="AG13" s="39">
        <v>407045</v>
      </c>
      <c r="AH13" s="90">
        <f t="shared" si="10"/>
        <v>5.2957967195929488E-3</v>
      </c>
      <c r="AI13" s="37">
        <f>SUM(AC13+AE13+AG13)</f>
        <v>1111364</v>
      </c>
      <c r="AJ13" s="288">
        <f t="shared" si="12"/>
        <v>5241136</v>
      </c>
      <c r="AK13" s="289" t="e">
        <f>AJ13-#REF!</f>
        <v>#REF!</v>
      </c>
      <c r="AL13" s="28"/>
      <c r="AM13" s="28"/>
      <c r="AN13" s="28"/>
      <c r="AO13" s="28"/>
    </row>
    <row r="14" spans="2:41" s="10" customFormat="1" ht="18" customHeight="1">
      <c r="B14" s="1178"/>
      <c r="C14" s="1112"/>
      <c r="D14" s="1033"/>
      <c r="E14" s="1033"/>
      <c r="F14" s="1180"/>
      <c r="G14" s="143" t="s">
        <v>44</v>
      </c>
      <c r="H14" s="31">
        <v>0</v>
      </c>
      <c r="I14" s="31">
        <v>0</v>
      </c>
      <c r="J14" s="31">
        <v>0</v>
      </c>
      <c r="K14" s="37">
        <f t="shared" si="0"/>
        <v>0</v>
      </c>
      <c r="L14" s="291">
        <f t="shared" si="1"/>
        <v>0</v>
      </c>
      <c r="M14" s="293">
        <v>1381818</v>
      </c>
      <c r="N14" s="90">
        <f t="shared" si="2"/>
        <v>2.1475243607884067E-2</v>
      </c>
      <c r="O14" s="31">
        <v>552727</v>
      </c>
      <c r="P14" s="90">
        <f t="shared" si="3"/>
        <v>9.7203093436257475E-3</v>
      </c>
      <c r="Q14" s="31">
        <v>967273</v>
      </c>
      <c r="R14" s="90">
        <f t="shared" si="4"/>
        <v>1.4945132158256449E-2</v>
      </c>
      <c r="S14" s="37">
        <f>M14+O14+Q14</f>
        <v>2901818</v>
      </c>
      <c r="T14" s="292">
        <f t="shared" si="5"/>
        <v>1.5607095019479758E-2</v>
      </c>
      <c r="U14" s="31">
        <v>1312727</v>
      </c>
      <c r="V14" s="90">
        <f t="shared" si="6"/>
        <v>1.7766845609557894E-2</v>
      </c>
      <c r="W14" s="31">
        <v>1105455</v>
      </c>
      <c r="X14" s="90">
        <f t="shared" si="7"/>
        <v>1.6680195703552895E-2</v>
      </c>
      <c r="Y14" s="31">
        <v>276364</v>
      </c>
      <c r="Z14" s="90">
        <f t="shared" si="8"/>
        <v>3.7457329304239366E-3</v>
      </c>
      <c r="AA14" s="37">
        <f t="shared" si="11"/>
        <v>2694546</v>
      </c>
      <c r="AB14" s="292">
        <f>AA14/AA$20</f>
        <v>1.2594817503134849E-2</v>
      </c>
      <c r="AC14" s="38">
        <v>760000</v>
      </c>
      <c r="AD14" s="90">
        <f t="shared" si="9"/>
        <v>1.2002687591267805E-2</v>
      </c>
      <c r="AE14" s="38">
        <v>967273</v>
      </c>
      <c r="AF14" s="90">
        <f t="shared" si="10"/>
        <v>1.4663872837675947E-2</v>
      </c>
      <c r="AG14" s="39">
        <v>1036364</v>
      </c>
      <c r="AH14" s="90">
        <f t="shared" si="10"/>
        <v>1.348345532190354E-2</v>
      </c>
      <c r="AI14" s="37">
        <f>SUM(AC14+AE14+AG14)</f>
        <v>2763637</v>
      </c>
      <c r="AJ14" s="288">
        <f t="shared" si="12"/>
        <v>8360001</v>
      </c>
      <c r="AK14" s="289" t="e">
        <f>AJ14-#REF!</f>
        <v>#REF!</v>
      </c>
      <c r="AL14" s="28"/>
      <c r="AM14" s="28"/>
      <c r="AN14" s="28"/>
      <c r="AO14" s="28"/>
    </row>
    <row r="15" spans="2:41" s="10" customFormat="1" ht="18" customHeight="1">
      <c r="B15" s="1178"/>
      <c r="C15" s="1112"/>
      <c r="D15" s="1033"/>
      <c r="E15" s="1033"/>
      <c r="F15" s="1180"/>
      <c r="G15" s="294" t="s">
        <v>47</v>
      </c>
      <c r="H15" s="295">
        <f>SUM(H11:H14)</f>
        <v>26056713.636363633</v>
      </c>
      <c r="I15" s="295">
        <f>SUM(I11:I14)</f>
        <v>25674105.363636363</v>
      </c>
      <c r="J15" s="295">
        <f>SUM(J11:J14)</f>
        <v>25883574.818181816</v>
      </c>
      <c r="K15" s="295">
        <f>SUM(K11:K14)</f>
        <v>77614393.818181813</v>
      </c>
      <c r="L15" s="296">
        <f t="shared" si="1"/>
        <v>0.46160851305299433</v>
      </c>
      <c r="M15" s="295">
        <f>SUM(M11:M14)</f>
        <v>29999449</v>
      </c>
      <c r="N15" s="297">
        <f t="shared" si="2"/>
        <v>0.46623033957966542</v>
      </c>
      <c r="O15" s="295">
        <f>SUM(O11:O14)</f>
        <v>26266451</v>
      </c>
      <c r="P15" s="297">
        <f t="shared" si="3"/>
        <v>0.46192429369143873</v>
      </c>
      <c r="Q15" s="295">
        <f>SUM(Q11:Q14)</f>
        <v>30272102</v>
      </c>
      <c r="R15" s="297">
        <f t="shared" si="4"/>
        <v>0.46772789594894032</v>
      </c>
      <c r="S15" s="295">
        <f>SUM(S11:S14)</f>
        <v>86538002</v>
      </c>
      <c r="T15" s="296">
        <f t="shared" si="5"/>
        <v>0.46543471024369182</v>
      </c>
      <c r="U15" s="295">
        <f>SUM(U11:U14)</f>
        <v>34444545</v>
      </c>
      <c r="V15" s="297">
        <f t="shared" si="6"/>
        <v>0.46618292539611761</v>
      </c>
      <c r="W15" s="295">
        <f>SUM(W11:W14)</f>
        <v>30653582</v>
      </c>
      <c r="X15" s="297">
        <f t="shared" si="7"/>
        <v>0.46253148864033944</v>
      </c>
      <c r="Y15" s="295">
        <f>SUM(Y11:Y14)</f>
        <v>33139681</v>
      </c>
      <c r="Z15" s="297">
        <f t="shared" si="8"/>
        <v>0.44916267829907097</v>
      </c>
      <c r="AA15" s="295">
        <f>SUM(U15+W15+Y15)</f>
        <v>98237808</v>
      </c>
      <c r="AB15" s="296">
        <f>AA15/$S$20</f>
        <v>0.52836077381882973</v>
      </c>
      <c r="AC15" s="298">
        <f>SUM(AC11:AC14)</f>
        <v>28581095</v>
      </c>
      <c r="AD15" s="297">
        <f t="shared" si="9"/>
        <v>0.45138151881756094</v>
      </c>
      <c r="AE15" s="298">
        <f>SUM(AE11:AE14)</f>
        <v>29255551</v>
      </c>
      <c r="AF15" s="297">
        <f t="shared" si="10"/>
        <v>0.44351458136445804</v>
      </c>
      <c r="AG15" s="299">
        <f>SUM(AG11:AG14)</f>
        <v>35203357</v>
      </c>
      <c r="AH15" s="297">
        <f t="shared" si="10"/>
        <v>0.45800789229510119</v>
      </c>
      <c r="AI15" s="295">
        <f>SUM(AI11:AI14)</f>
        <v>93040003</v>
      </c>
      <c r="AJ15" s="288">
        <f t="shared" si="12"/>
        <v>355430206.81818181</v>
      </c>
      <c r="AK15" s="289" t="e">
        <f>AJ15-#REF!</f>
        <v>#REF!</v>
      </c>
      <c r="AL15" s="28"/>
      <c r="AM15" s="28"/>
      <c r="AN15" s="28"/>
      <c r="AO15" s="28"/>
    </row>
    <row r="16" spans="2:41" s="10" customFormat="1" ht="18" customHeight="1">
      <c r="B16" s="1181">
        <v>3</v>
      </c>
      <c r="C16" s="1112"/>
      <c r="D16" s="1033"/>
      <c r="E16" s="1033"/>
      <c r="F16" s="1182" t="s">
        <v>48</v>
      </c>
      <c r="G16" s="55" t="s">
        <v>49</v>
      </c>
      <c r="H16" s="30">
        <v>0</v>
      </c>
      <c r="I16" s="31">
        <v>0</v>
      </c>
      <c r="J16" s="31">
        <v>0</v>
      </c>
      <c r="K16" s="37">
        <f t="shared" si="0"/>
        <v>0</v>
      </c>
      <c r="L16" s="291">
        <f t="shared" si="1"/>
        <v>0</v>
      </c>
      <c r="M16" s="31">
        <v>0</v>
      </c>
      <c r="N16" s="90">
        <f t="shared" si="2"/>
        <v>0</v>
      </c>
      <c r="O16" s="31">
        <v>0</v>
      </c>
      <c r="P16" s="90">
        <f t="shared" si="3"/>
        <v>0</v>
      </c>
      <c r="Q16" s="31">
        <v>0</v>
      </c>
      <c r="R16" s="90">
        <f t="shared" si="4"/>
        <v>0</v>
      </c>
      <c r="S16" s="37">
        <f t="shared" ref="S16:S18" si="13">M16+O16+Q16</f>
        <v>0</v>
      </c>
      <c r="T16" s="292">
        <f t="shared" si="5"/>
        <v>0</v>
      </c>
      <c r="U16" s="31">
        <v>0</v>
      </c>
      <c r="V16" s="90">
        <f t="shared" si="6"/>
        <v>0</v>
      </c>
      <c r="W16" s="31">
        <v>0</v>
      </c>
      <c r="X16" s="90">
        <f t="shared" si="7"/>
        <v>0</v>
      </c>
      <c r="Y16" s="31">
        <v>1500000</v>
      </c>
      <c r="Z16" s="90">
        <f t="shared" si="8"/>
        <v>2.0330431588904144E-2</v>
      </c>
      <c r="AA16" s="37">
        <f t="shared" si="11"/>
        <v>1500000</v>
      </c>
      <c r="AB16" s="292">
        <f>AA16/AA$20</f>
        <v>7.0112836280034835E-3</v>
      </c>
      <c r="AC16" s="301">
        <v>1500000</v>
      </c>
      <c r="AD16" s="90">
        <f t="shared" si="9"/>
        <v>2.3689514982765406E-2</v>
      </c>
      <c r="AE16" s="301">
        <v>1500000</v>
      </c>
      <c r="AF16" s="90">
        <f t="shared" si="10"/>
        <v>2.2740021955036396E-2</v>
      </c>
      <c r="AG16" s="302">
        <v>1500000</v>
      </c>
      <c r="AH16" s="90">
        <f t="shared" si="10"/>
        <v>1.9515520592046146E-2</v>
      </c>
      <c r="AI16" s="37">
        <f>SUM(AC16+AE16+AG16)</f>
        <v>4500000</v>
      </c>
      <c r="AJ16" s="288">
        <f t="shared" si="12"/>
        <v>6000000</v>
      </c>
      <c r="AK16" s="289" t="e">
        <f>AJ16-#REF!</f>
        <v>#REF!</v>
      </c>
      <c r="AL16" s="28"/>
      <c r="AM16" s="28"/>
      <c r="AN16" s="28"/>
      <c r="AO16" s="28"/>
    </row>
    <row r="17" spans="2:41" s="10" customFormat="1" ht="18" customHeight="1">
      <c r="B17" s="1112"/>
      <c r="C17" s="1112"/>
      <c r="D17" s="1033"/>
      <c r="E17" s="1033"/>
      <c r="F17" s="1182"/>
      <c r="G17" s="55" t="s">
        <v>50</v>
      </c>
      <c r="H17" s="30"/>
      <c r="I17" s="31"/>
      <c r="J17" s="31"/>
      <c r="K17" s="37">
        <f t="shared" si="0"/>
        <v>0</v>
      </c>
      <c r="L17" s="291"/>
      <c r="M17" s="31"/>
      <c r="N17" s="90">
        <f t="shared" si="2"/>
        <v>0</v>
      </c>
      <c r="O17" s="31"/>
      <c r="P17" s="90">
        <f t="shared" si="3"/>
        <v>0</v>
      </c>
      <c r="Q17" s="31"/>
      <c r="R17" s="90">
        <f t="shared" si="4"/>
        <v>0</v>
      </c>
      <c r="S17" s="37">
        <f t="shared" si="13"/>
        <v>0</v>
      </c>
      <c r="T17" s="292">
        <f t="shared" si="5"/>
        <v>0</v>
      </c>
      <c r="U17" s="31"/>
      <c r="V17" s="90">
        <f t="shared" si="6"/>
        <v>0</v>
      </c>
      <c r="W17" s="31"/>
      <c r="X17" s="90">
        <f t="shared" si="7"/>
        <v>0</v>
      </c>
      <c r="Y17" s="31">
        <v>0</v>
      </c>
      <c r="Z17" s="90">
        <f t="shared" si="8"/>
        <v>0</v>
      </c>
      <c r="AA17" s="37">
        <f t="shared" si="11"/>
        <v>0</v>
      </c>
      <c r="AB17" s="292">
        <f>AA17/AA$20</f>
        <v>0</v>
      </c>
      <c r="AC17" s="301">
        <v>0</v>
      </c>
      <c r="AD17" s="90">
        <f t="shared" si="9"/>
        <v>0</v>
      </c>
      <c r="AE17" s="301">
        <v>410666</v>
      </c>
      <c r="AF17" s="90">
        <f>AE17/AE$20</f>
        <v>6.2257025707913183E-3</v>
      </c>
      <c r="AG17" s="302">
        <v>880000</v>
      </c>
      <c r="AH17" s="90">
        <f>AG17/AG$20</f>
        <v>1.1449105414000406E-2</v>
      </c>
      <c r="AI17" s="37">
        <f t="shared" ref="AI17:AI18" si="14">SUM(AC17+AE17+AG17)</f>
        <v>1290666</v>
      </c>
      <c r="AJ17" s="288">
        <f>SUM(AA17,S17,K17,AI17)</f>
        <v>1290666</v>
      </c>
      <c r="AK17" s="289" t="e">
        <f>AJ17-#REF!</f>
        <v>#REF!</v>
      </c>
      <c r="AL17" s="28"/>
      <c r="AM17" s="28"/>
      <c r="AN17" s="28"/>
      <c r="AO17" s="28"/>
    </row>
    <row r="18" spans="2:41" s="10" customFormat="1" ht="18" customHeight="1">
      <c r="B18" s="1112"/>
      <c r="C18" s="1112"/>
      <c r="D18" s="1033"/>
      <c r="E18" s="1033"/>
      <c r="F18" s="1182"/>
      <c r="G18" s="55" t="s">
        <v>51</v>
      </c>
      <c r="H18" s="30"/>
      <c r="I18" s="31"/>
      <c r="J18" s="31"/>
      <c r="K18" s="37">
        <f t="shared" si="0"/>
        <v>0</v>
      </c>
      <c r="L18" s="291"/>
      <c r="M18" s="31"/>
      <c r="N18" s="90">
        <f t="shared" si="2"/>
        <v>0</v>
      </c>
      <c r="O18" s="31"/>
      <c r="P18" s="90">
        <f t="shared" si="3"/>
        <v>0</v>
      </c>
      <c r="Q18" s="31"/>
      <c r="R18" s="90">
        <f t="shared" si="4"/>
        <v>0</v>
      </c>
      <c r="S18" s="37">
        <f t="shared" si="13"/>
        <v>0</v>
      </c>
      <c r="T18" s="292">
        <f t="shared" si="5"/>
        <v>0</v>
      </c>
      <c r="U18" s="31"/>
      <c r="V18" s="90">
        <f t="shared" si="6"/>
        <v>0</v>
      </c>
      <c r="W18" s="31"/>
      <c r="X18" s="90">
        <f t="shared" si="7"/>
        <v>0</v>
      </c>
      <c r="Y18" s="31">
        <v>0</v>
      </c>
      <c r="Z18" s="90">
        <f t="shared" si="8"/>
        <v>0</v>
      </c>
      <c r="AA18" s="37">
        <f t="shared" si="11"/>
        <v>0</v>
      </c>
      <c r="AB18" s="292">
        <f>AA18/AA$20</f>
        <v>0</v>
      </c>
      <c r="AC18" s="301">
        <v>0</v>
      </c>
      <c r="AD18" s="90">
        <f t="shared" si="9"/>
        <v>0</v>
      </c>
      <c r="AE18" s="301">
        <v>814545</v>
      </c>
      <c r="AF18" s="90">
        <f>AE18/AE$20</f>
        <v>1.2348514122243415E-2</v>
      </c>
      <c r="AG18" s="302">
        <v>1745454.4</v>
      </c>
      <c r="AH18" s="90">
        <f>AG18/AG$20</f>
        <v>2.2708967523785033E-2</v>
      </c>
      <c r="AI18" s="37">
        <f t="shared" si="14"/>
        <v>2559999.4</v>
      </c>
      <c r="AJ18" s="288">
        <f t="shared" si="12"/>
        <v>2559999.4</v>
      </c>
      <c r="AK18" s="289" t="e">
        <f>AJ18-#REF!</f>
        <v>#REF!</v>
      </c>
      <c r="AL18" s="28"/>
      <c r="AM18" s="28"/>
      <c r="AN18" s="28"/>
      <c r="AO18" s="28"/>
    </row>
    <row r="19" spans="2:41" s="10" customFormat="1" ht="18" customHeight="1">
      <c r="B19" s="1177"/>
      <c r="C19" s="1177"/>
      <c r="D19" s="1034"/>
      <c r="E19" s="1034"/>
      <c r="F19" s="1182"/>
      <c r="G19" s="294" t="s">
        <v>52</v>
      </c>
      <c r="H19" s="303"/>
      <c r="I19" s="295"/>
      <c r="J19" s="295"/>
      <c r="K19" s="295"/>
      <c r="L19" s="296"/>
      <c r="M19" s="295">
        <f>SUM(M16)</f>
        <v>0</v>
      </c>
      <c r="N19" s="297">
        <f>M19/M$20</f>
        <v>0</v>
      </c>
      <c r="O19" s="295">
        <f>SUM(O16)</f>
        <v>0</v>
      </c>
      <c r="P19" s="297">
        <f>O19/O$20</f>
        <v>0</v>
      </c>
      <c r="Q19" s="295">
        <f>SUM(Q16)</f>
        <v>0</v>
      </c>
      <c r="R19" s="297">
        <f>Q19/Q$20</f>
        <v>0</v>
      </c>
      <c r="S19" s="295"/>
      <c r="T19" s="296"/>
      <c r="U19" s="295">
        <f>SUM(U16)</f>
        <v>0</v>
      </c>
      <c r="V19" s="297">
        <f>U19/U$20</f>
        <v>0</v>
      </c>
      <c r="W19" s="295">
        <f>SUM(W16)</f>
        <v>0</v>
      </c>
      <c r="X19" s="297">
        <f>W19/W$20</f>
        <v>0</v>
      </c>
      <c r="Y19" s="295">
        <f>SUM(Y16)</f>
        <v>1500000</v>
      </c>
      <c r="Z19" s="297">
        <f t="shared" si="8"/>
        <v>2.0330431588904144E-2</v>
      </c>
      <c r="AA19" s="295">
        <f>SUM(U19+W19+Y19)</f>
        <v>1500000</v>
      </c>
      <c r="AB19" s="296"/>
      <c r="AC19" s="298">
        <f>SUM(AC16:AC18)</f>
        <v>1500000</v>
      </c>
      <c r="AD19" s="297">
        <f t="shared" si="9"/>
        <v>2.3689514982765406E-2</v>
      </c>
      <c r="AE19" s="298">
        <f>SUM(AE16:AE18)</f>
        <v>2725211</v>
      </c>
      <c r="AF19" s="297">
        <f>AE19/AE$20</f>
        <v>4.1314238648071128E-2</v>
      </c>
      <c r="AG19" s="299">
        <f>SUM(AG16:AG18)</f>
        <v>4125454.4</v>
      </c>
      <c r="AH19" s="297">
        <f>AG19/AG$20</f>
        <v>5.367359352983158E-2</v>
      </c>
      <c r="AI19" s="295">
        <f>SUM(AI16:AI18)</f>
        <v>8350665.4000000004</v>
      </c>
      <c r="AJ19" s="288">
        <f t="shared" si="12"/>
        <v>9850665.4000000004</v>
      </c>
      <c r="AK19" s="289" t="e">
        <f>AJ19-#REF!</f>
        <v>#REF!</v>
      </c>
      <c r="AL19" s="28"/>
      <c r="AM19" s="28"/>
      <c r="AN19" s="28"/>
      <c r="AO19" s="28"/>
    </row>
    <row r="20" spans="2:41" s="10" customFormat="1" ht="21.75" customHeight="1">
      <c r="B20" s="1175" t="s">
        <v>53</v>
      </c>
      <c r="C20" s="1175"/>
      <c r="D20" s="1175"/>
      <c r="E20" s="1175"/>
      <c r="F20" s="1176"/>
      <c r="G20" s="1176"/>
      <c r="H20" s="304">
        <f>H10+H15</f>
        <v>56794258.18181818</v>
      </c>
      <c r="I20" s="304">
        <f>I10+I15</f>
        <v>54505758.909090906</v>
      </c>
      <c r="J20" s="304">
        <f>J10+J15</f>
        <v>56838983</v>
      </c>
      <c r="K20" s="304">
        <f>K10+K15</f>
        <v>168139000.09090906</v>
      </c>
      <c r="L20" s="291">
        <f t="shared" ref="L20:L25" si="15">K20/$K$20</f>
        <v>1</v>
      </c>
      <c r="M20" s="304">
        <f>M10+M15</f>
        <v>64344695</v>
      </c>
      <c r="N20" s="90">
        <f t="shared" ref="N20:N25" si="16">M20/$M$20</f>
        <v>1</v>
      </c>
      <c r="O20" s="304">
        <f>O10+O15</f>
        <v>56863108</v>
      </c>
      <c r="P20" s="90">
        <f>O20/$O$20</f>
        <v>1</v>
      </c>
      <c r="Q20" s="305">
        <f>Q10+Q15</f>
        <v>64721609</v>
      </c>
      <c r="R20" s="90">
        <f>Q20/$Q$20</f>
        <v>1</v>
      </c>
      <c r="S20" s="304">
        <f>S10+S15</f>
        <v>185929412</v>
      </c>
      <c r="T20" s="292">
        <f t="shared" ref="T20:T25" si="17">S20/$S$20</f>
        <v>1</v>
      </c>
      <c r="U20" s="304">
        <f>U10+U15</f>
        <v>73886329</v>
      </c>
      <c r="V20" s="90">
        <f>U20/$U$20</f>
        <v>1</v>
      </c>
      <c r="W20" s="304">
        <f>W10+W15</f>
        <v>66273503</v>
      </c>
      <c r="X20" s="90">
        <f>W20/W$20</f>
        <v>1</v>
      </c>
      <c r="Y20" s="304">
        <f>Y10+Y15+Y19</f>
        <v>73781021</v>
      </c>
      <c r="Z20" s="90">
        <f t="shared" si="8"/>
        <v>1</v>
      </c>
      <c r="AA20" s="304">
        <f>SUM(U20+W20+Y20)</f>
        <v>213940853</v>
      </c>
      <c r="AB20" s="292">
        <f t="shared" ref="AB20:AB25" si="18">AA20/AA$20</f>
        <v>1</v>
      </c>
      <c r="AC20" s="304">
        <f>AC10+AC15+AC19</f>
        <v>63319152</v>
      </c>
      <c r="AD20" s="90">
        <f t="shared" si="9"/>
        <v>1</v>
      </c>
      <c r="AE20" s="304">
        <f>AE10+AE15+AE19</f>
        <v>65962997</v>
      </c>
      <c r="AF20" s="90">
        <f>AE20/AE$20</f>
        <v>1</v>
      </c>
      <c r="AG20" s="305">
        <f>AG10+AG15+AG19</f>
        <v>76861900.400000006</v>
      </c>
      <c r="AH20" s="90">
        <f>AG20/AG$20</f>
        <v>1</v>
      </c>
      <c r="AI20" s="304">
        <f t="shared" ref="AI20:AI25" si="19">SUM(AC20+AE20+AG20)</f>
        <v>206144049.40000001</v>
      </c>
      <c r="AJ20" s="288">
        <f t="shared" si="12"/>
        <v>774153314.49090898</v>
      </c>
      <c r="AK20" s="289" t="e">
        <f>AJ20-#REF!</f>
        <v>#REF!</v>
      </c>
      <c r="AL20" s="28"/>
      <c r="AM20" s="28"/>
      <c r="AN20" s="28"/>
    </row>
    <row r="21" spans="2:41" s="10" customFormat="1" ht="18" customHeight="1">
      <c r="B21" s="306">
        <v>3</v>
      </c>
      <c r="C21" s="307"/>
      <c r="D21" s="307"/>
      <c r="E21" s="307"/>
      <c r="F21" s="307"/>
      <c r="G21" s="290" t="s">
        <v>321</v>
      </c>
      <c r="H21" s="31" t="e">
        <f>#REF!</f>
        <v>#REF!</v>
      </c>
      <c r="I21" s="31" t="e">
        <f>#REF!</f>
        <v>#REF!</v>
      </c>
      <c r="J21" s="31" t="e">
        <f>#REF!</f>
        <v>#REF!</v>
      </c>
      <c r="K21" s="37" t="e">
        <f>SUM(H21:J21)</f>
        <v>#REF!</v>
      </c>
      <c r="L21" s="308" t="e">
        <f t="shared" si="15"/>
        <v>#REF!</v>
      </c>
      <c r="M21" s="300" t="e">
        <f>#REF!</f>
        <v>#REF!</v>
      </c>
      <c r="N21" s="90" t="e">
        <f t="shared" si="16"/>
        <v>#REF!</v>
      </c>
      <c r="O21" s="31" t="e">
        <f>#REF!</f>
        <v>#REF!</v>
      </c>
      <c r="P21" s="90" t="e">
        <f>O21/O$20</f>
        <v>#REF!</v>
      </c>
      <c r="Q21" s="31" t="e">
        <f>#REF!</f>
        <v>#REF!</v>
      </c>
      <c r="R21" s="90" t="e">
        <f>Q21/Q$20</f>
        <v>#REF!</v>
      </c>
      <c r="S21" s="37" t="e">
        <f>M21+O21+Q21</f>
        <v>#REF!</v>
      </c>
      <c r="T21" s="308" t="e">
        <f t="shared" si="17"/>
        <v>#REF!</v>
      </c>
      <c r="U21" s="31" t="e">
        <f>#REF!</f>
        <v>#REF!</v>
      </c>
      <c r="V21" s="90" t="e">
        <f>U21/U$20</f>
        <v>#REF!</v>
      </c>
      <c r="W21" s="31" t="e">
        <f>#REF!</f>
        <v>#REF!</v>
      </c>
      <c r="X21" s="90" t="e">
        <f t="shared" ref="X21:Z25" si="20">W21/W$20</f>
        <v>#REF!</v>
      </c>
      <c r="Y21" s="31" t="e">
        <f>#REF!</f>
        <v>#REF!</v>
      </c>
      <c r="Z21" s="90" t="e">
        <f t="shared" si="20"/>
        <v>#REF!</v>
      </c>
      <c r="AA21" s="37" t="e">
        <f t="shared" si="11"/>
        <v>#REF!</v>
      </c>
      <c r="AB21" s="308" t="e">
        <f>AA21/AA$20</f>
        <v>#REF!</v>
      </c>
      <c r="AC21" s="31" t="e">
        <f>#REF!</f>
        <v>#REF!</v>
      </c>
      <c r="AD21" s="90" t="e">
        <f t="shared" si="9"/>
        <v>#REF!</v>
      </c>
      <c r="AE21" s="38" t="e">
        <f>#REF!</f>
        <v>#REF!</v>
      </c>
      <c r="AF21" s="90" t="e">
        <f t="shared" ref="AF21:AH25" si="21">AE21/AE$20</f>
        <v>#REF!</v>
      </c>
      <c r="AG21" s="38" t="e">
        <f>#REF!</f>
        <v>#REF!</v>
      </c>
      <c r="AH21" s="90" t="e">
        <f t="shared" si="21"/>
        <v>#REF!</v>
      </c>
      <c r="AI21" s="37" t="e">
        <f t="shared" si="19"/>
        <v>#REF!</v>
      </c>
      <c r="AJ21" s="288" t="e">
        <f t="shared" si="12"/>
        <v>#REF!</v>
      </c>
      <c r="AK21" s="289" t="e">
        <f>AJ21-#REF!</f>
        <v>#REF!</v>
      </c>
      <c r="AL21" s="28"/>
      <c r="AM21" s="28"/>
      <c r="AN21" s="28"/>
      <c r="AO21" s="28"/>
    </row>
    <row r="22" spans="2:41" s="10" customFormat="1" ht="18" customHeight="1">
      <c r="B22" s="306">
        <v>4</v>
      </c>
      <c r="C22" s="309"/>
      <c r="D22" s="309"/>
      <c r="E22" s="309"/>
      <c r="F22" s="309"/>
      <c r="G22" s="310" t="s">
        <v>322</v>
      </c>
      <c r="H22" s="311" t="e">
        <f>#REF!</f>
        <v>#REF!</v>
      </c>
      <c r="I22" s="311" t="e">
        <f>#REF!</f>
        <v>#REF!</v>
      </c>
      <c r="J22" s="311" t="e">
        <f>#REF!</f>
        <v>#REF!</v>
      </c>
      <c r="K22" s="248" t="e">
        <f>SUM(H22:J22)</f>
        <v>#REF!</v>
      </c>
      <c r="L22" s="308" t="e">
        <f t="shared" si="15"/>
        <v>#REF!</v>
      </c>
      <c r="M22" s="300" t="e">
        <f>#REF!</f>
        <v>#REF!</v>
      </c>
      <c r="N22" s="90" t="e">
        <f t="shared" si="16"/>
        <v>#REF!</v>
      </c>
      <c r="O22" s="31" t="e">
        <f>#REF!</f>
        <v>#REF!</v>
      </c>
      <c r="P22" s="90" t="e">
        <f>O22/O$20</f>
        <v>#REF!</v>
      </c>
      <c r="Q22" s="31" t="e">
        <f>#REF!</f>
        <v>#REF!</v>
      </c>
      <c r="R22" s="90" t="e">
        <f>Q22/Q$20</f>
        <v>#REF!</v>
      </c>
      <c r="S22" s="37" t="e">
        <f>M22+O22+Q22</f>
        <v>#REF!</v>
      </c>
      <c r="T22" s="308" t="e">
        <f t="shared" si="17"/>
        <v>#REF!</v>
      </c>
      <c r="U22" s="31" t="e">
        <f>#REF!</f>
        <v>#REF!</v>
      </c>
      <c r="V22" s="90" t="e">
        <f>U22/U$20</f>
        <v>#REF!</v>
      </c>
      <c r="W22" s="31" t="e">
        <f>#REF!</f>
        <v>#REF!</v>
      </c>
      <c r="X22" s="90" t="e">
        <f t="shared" si="20"/>
        <v>#REF!</v>
      </c>
      <c r="Y22" s="31" t="e">
        <f>#REF!</f>
        <v>#REF!</v>
      </c>
      <c r="Z22" s="90" t="e">
        <f t="shared" si="20"/>
        <v>#REF!</v>
      </c>
      <c r="AA22" s="37" t="e">
        <f t="shared" si="11"/>
        <v>#REF!</v>
      </c>
      <c r="AB22" s="308" t="e">
        <f t="shared" si="18"/>
        <v>#REF!</v>
      </c>
      <c r="AC22" s="38" t="e">
        <f>#REF!</f>
        <v>#REF!</v>
      </c>
      <c r="AD22" s="90" t="e">
        <f t="shared" si="9"/>
        <v>#REF!</v>
      </c>
      <c r="AE22" s="38" t="e">
        <f>#REF!</f>
        <v>#REF!</v>
      </c>
      <c r="AF22" s="90" t="e">
        <f t="shared" si="21"/>
        <v>#REF!</v>
      </c>
      <c r="AG22" s="38" t="e">
        <f>#REF!</f>
        <v>#REF!</v>
      </c>
      <c r="AH22" s="90" t="e">
        <f t="shared" si="21"/>
        <v>#REF!</v>
      </c>
      <c r="AI22" s="37" t="e">
        <f t="shared" si="19"/>
        <v>#REF!</v>
      </c>
      <c r="AJ22" s="288" t="e">
        <f>SUM(AA22,S22,K22,AI22)</f>
        <v>#REF!</v>
      </c>
      <c r="AK22" s="289" t="e">
        <f>AJ22-#REF!</f>
        <v>#REF!</v>
      </c>
      <c r="AL22" s="28"/>
      <c r="AM22" s="28"/>
      <c r="AN22" s="28"/>
      <c r="AO22" s="28"/>
    </row>
    <row r="23" spans="2:41" s="10" customFormat="1" ht="18" customHeight="1">
      <c r="B23" s="306">
        <v>5</v>
      </c>
      <c r="C23" s="307"/>
      <c r="D23" s="307"/>
      <c r="E23" s="307"/>
      <c r="F23" s="307"/>
      <c r="G23" s="290" t="s">
        <v>323</v>
      </c>
      <c r="H23" s="31">
        <v>3624174</v>
      </c>
      <c r="I23" s="31">
        <v>1653330</v>
      </c>
      <c r="J23" s="31">
        <v>2240381</v>
      </c>
      <c r="K23" s="37">
        <f>SUM(H23:J23)</f>
        <v>7517885</v>
      </c>
      <c r="L23" s="308">
        <f t="shared" si="15"/>
        <v>4.471232132899116E-2</v>
      </c>
      <c r="M23" s="300">
        <v>1886578</v>
      </c>
      <c r="N23" s="90">
        <f t="shared" si="16"/>
        <v>2.9319868561036772E-2</v>
      </c>
      <c r="O23" s="31">
        <v>3014728</v>
      </c>
      <c r="P23" s="90">
        <f>O23/O$20</f>
        <v>5.3017291984813773E-2</v>
      </c>
      <c r="Q23" s="31">
        <v>1864888</v>
      </c>
      <c r="R23" s="90">
        <f>Q23/Q$20</f>
        <v>2.8813993174984263E-2</v>
      </c>
      <c r="S23" s="37">
        <f>M23+O23+Q23</f>
        <v>6766194</v>
      </c>
      <c r="T23" s="308">
        <f t="shared" si="17"/>
        <v>3.6391197751972665E-2</v>
      </c>
      <c r="U23" s="142">
        <v>1645808</v>
      </c>
      <c r="V23" s="90">
        <f>U23/U$20</f>
        <v>2.2274864948291045E-2</v>
      </c>
      <c r="W23" s="31">
        <v>2129226</v>
      </c>
      <c r="X23" s="90">
        <f t="shared" si="20"/>
        <v>3.2127862624071642E-2</v>
      </c>
      <c r="Y23" s="31">
        <v>2461458</v>
      </c>
      <c r="Z23" s="90">
        <f t="shared" si="20"/>
        <v>3.3361668985307208E-2</v>
      </c>
      <c r="AA23" s="37">
        <f t="shared" si="11"/>
        <v>6236492</v>
      </c>
      <c r="AB23" s="308">
        <f t="shared" si="18"/>
        <v>2.9150542837183133E-2</v>
      </c>
      <c r="AC23" s="38">
        <v>491882</v>
      </c>
      <c r="AD23" s="90">
        <f t="shared" si="9"/>
        <v>7.7682973391684082E-3</v>
      </c>
      <c r="AE23" s="38">
        <v>1624458.3548387096</v>
      </c>
      <c r="AF23" s="90">
        <f t="shared" si="21"/>
        <v>2.4626812436049708E-2</v>
      </c>
      <c r="AG23" s="38">
        <v>1136417</v>
      </c>
      <c r="AH23" s="90">
        <f t="shared" si="21"/>
        <v>1.4785179576434203E-2</v>
      </c>
      <c r="AI23" s="37">
        <f t="shared" si="19"/>
        <v>3252757.3548387093</v>
      </c>
      <c r="AJ23" s="288">
        <f>SUM(AA23,S23,K23,AI23)</f>
        <v>23773328.35483871</v>
      </c>
      <c r="AK23" s="289"/>
      <c r="AL23" s="140" t="s">
        <v>324</v>
      </c>
      <c r="AM23" s="28"/>
      <c r="AN23" s="28"/>
      <c r="AO23" s="28"/>
    </row>
    <row r="24" spans="2:41" s="10" customFormat="1" ht="18" customHeight="1">
      <c r="B24" s="306">
        <v>6</v>
      </c>
      <c r="C24" s="307"/>
      <c r="D24" s="307"/>
      <c r="E24" s="307"/>
      <c r="F24" s="307"/>
      <c r="G24" s="290" t="s">
        <v>325</v>
      </c>
      <c r="H24" s="31">
        <v>3795954</v>
      </c>
      <c r="I24" s="31">
        <v>4162788</v>
      </c>
      <c r="J24" s="31">
        <v>4165314</v>
      </c>
      <c r="K24" s="37">
        <f>SUM(H24:J24)</f>
        <v>12124056</v>
      </c>
      <c r="L24" s="308">
        <f t="shared" si="15"/>
        <v>7.2107339721568395E-2</v>
      </c>
      <c r="M24" s="300">
        <v>4174230</v>
      </c>
      <c r="N24" s="90">
        <f t="shared" si="16"/>
        <v>6.4872947179250753E-2</v>
      </c>
      <c r="O24" s="31" t="e">
        <f>#REF!</f>
        <v>#REF!</v>
      </c>
      <c r="P24" s="90" t="e">
        <f>O24/O$20</f>
        <v>#REF!</v>
      </c>
      <c r="Q24" s="31" t="e">
        <f>#REF!</f>
        <v>#REF!</v>
      </c>
      <c r="R24" s="90" t="e">
        <f>Q24/Q$20</f>
        <v>#REF!</v>
      </c>
      <c r="S24" s="37" t="e">
        <f>M24+O24+Q24</f>
        <v>#REF!</v>
      </c>
      <c r="T24" s="308" t="e">
        <f t="shared" si="17"/>
        <v>#REF!</v>
      </c>
      <c r="U24" s="31" t="e">
        <f>#REF!</f>
        <v>#REF!</v>
      </c>
      <c r="V24" s="90" t="e">
        <f>U24/U$20</f>
        <v>#REF!</v>
      </c>
      <c r="W24" s="31" t="e">
        <f>#REF!</f>
        <v>#REF!</v>
      </c>
      <c r="X24" s="90" t="e">
        <f t="shared" si="20"/>
        <v>#REF!</v>
      </c>
      <c r="Y24" s="31" t="e">
        <f>#REF!</f>
        <v>#REF!</v>
      </c>
      <c r="Z24" s="90" t="e">
        <f t="shared" si="20"/>
        <v>#REF!</v>
      </c>
      <c r="AA24" s="37" t="e">
        <f t="shared" si="11"/>
        <v>#REF!</v>
      </c>
      <c r="AB24" s="308" t="e">
        <f t="shared" si="18"/>
        <v>#REF!</v>
      </c>
      <c r="AC24" s="38" t="e">
        <f>#REF!</f>
        <v>#REF!</v>
      </c>
      <c r="AD24" s="90" t="e">
        <f t="shared" si="9"/>
        <v>#REF!</v>
      </c>
      <c r="AE24" s="38" t="e">
        <f>#REF!</f>
        <v>#REF!</v>
      </c>
      <c r="AF24" s="90" t="e">
        <f t="shared" si="21"/>
        <v>#REF!</v>
      </c>
      <c r="AG24" s="38" t="e">
        <f>#REF!</f>
        <v>#REF!</v>
      </c>
      <c r="AH24" s="90" t="e">
        <f t="shared" si="21"/>
        <v>#REF!</v>
      </c>
      <c r="AI24" s="37" t="e">
        <f t="shared" si="19"/>
        <v>#REF!</v>
      </c>
      <c r="AJ24" s="288" t="e">
        <f>SUM(AA24,S24,K24,AI24)</f>
        <v>#REF!</v>
      </c>
      <c r="AK24" s="289" t="e">
        <f>AJ24-#REF!</f>
        <v>#REF!</v>
      </c>
      <c r="AL24" s="140" t="s">
        <v>326</v>
      </c>
      <c r="AM24" s="28"/>
      <c r="AN24" s="28"/>
      <c r="AO24" s="28"/>
    </row>
    <row r="25" spans="2:41" s="10" customFormat="1" ht="18" customHeight="1">
      <c r="B25" s="306">
        <v>7</v>
      </c>
      <c r="C25" s="307"/>
      <c r="D25" s="307"/>
      <c r="E25" s="307"/>
      <c r="F25" s="307"/>
      <c r="G25" s="290" t="s">
        <v>327</v>
      </c>
      <c r="H25" s="31">
        <v>8355215</v>
      </c>
      <c r="I25" s="31">
        <v>8188170</v>
      </c>
      <c r="J25" s="31">
        <v>7242856</v>
      </c>
      <c r="K25" s="37">
        <f>SUM(H25:J25)</f>
        <v>23786241</v>
      </c>
      <c r="L25" s="308">
        <f t="shared" si="15"/>
        <v>0.14146772008361713</v>
      </c>
      <c r="M25" s="300">
        <v>6434092</v>
      </c>
      <c r="N25" s="90">
        <f t="shared" si="16"/>
        <v>9.9994133160472676E-2</v>
      </c>
      <c r="O25" s="31" t="e">
        <f>#REF!</f>
        <v>#REF!</v>
      </c>
      <c r="P25" s="90" t="e">
        <f>O25/O$20</f>
        <v>#REF!</v>
      </c>
      <c r="Q25" s="31" t="e">
        <f>#REF!</f>
        <v>#REF!</v>
      </c>
      <c r="R25" s="90" t="e">
        <f>Q25/Q$20</f>
        <v>#REF!</v>
      </c>
      <c r="S25" s="37" t="e">
        <f>M25+O25+Q25</f>
        <v>#REF!</v>
      </c>
      <c r="T25" s="308" t="e">
        <f t="shared" si="17"/>
        <v>#REF!</v>
      </c>
      <c r="U25" s="31" t="e">
        <f>#REF!</f>
        <v>#REF!</v>
      </c>
      <c r="V25" s="90" t="e">
        <f>U25/U$20</f>
        <v>#REF!</v>
      </c>
      <c r="W25" s="31" t="e">
        <f>#REF!</f>
        <v>#REF!</v>
      </c>
      <c r="X25" s="90" t="e">
        <f t="shared" si="20"/>
        <v>#REF!</v>
      </c>
      <c r="Y25" s="31" t="e">
        <f>#REF!</f>
        <v>#REF!</v>
      </c>
      <c r="Z25" s="90" t="e">
        <f t="shared" si="20"/>
        <v>#REF!</v>
      </c>
      <c r="AA25" s="37" t="e">
        <f t="shared" si="11"/>
        <v>#REF!</v>
      </c>
      <c r="AB25" s="308" t="e">
        <f t="shared" si="18"/>
        <v>#REF!</v>
      </c>
      <c r="AC25" s="38" t="e">
        <f>#REF!</f>
        <v>#REF!</v>
      </c>
      <c r="AD25" s="90" t="e">
        <f t="shared" si="9"/>
        <v>#REF!</v>
      </c>
      <c r="AE25" s="38" t="e">
        <f>#REF!</f>
        <v>#REF!</v>
      </c>
      <c r="AF25" s="90" t="e">
        <f t="shared" si="21"/>
        <v>#REF!</v>
      </c>
      <c r="AG25" s="38" t="e">
        <f>#REF!</f>
        <v>#REF!</v>
      </c>
      <c r="AH25" s="90" t="e">
        <f t="shared" si="21"/>
        <v>#REF!</v>
      </c>
      <c r="AI25" s="37" t="e">
        <f t="shared" si="19"/>
        <v>#REF!</v>
      </c>
      <c r="AJ25" s="288" t="e">
        <f>SUM(AA25,S25,K25,AI25)</f>
        <v>#REF!</v>
      </c>
      <c r="AK25" s="289" t="e">
        <f>AJ25-#REF!</f>
        <v>#REF!</v>
      </c>
      <c r="AL25" s="140" t="s">
        <v>328</v>
      </c>
      <c r="AM25" s="28"/>
      <c r="AN25" s="28"/>
      <c r="AO25" s="28"/>
    </row>
    <row r="26" spans="2:41">
      <c r="B26" s="312"/>
      <c r="H26" s="313"/>
      <c r="I26" s="313"/>
      <c r="J26" s="313"/>
      <c r="K26" s="313"/>
      <c r="M26" s="313"/>
      <c r="O26" s="313"/>
      <c r="Q26" s="313"/>
      <c r="S26" s="313"/>
      <c r="U26" s="313"/>
      <c r="W26" s="313"/>
      <c r="Y26" s="313"/>
      <c r="AA26" s="313"/>
      <c r="AC26" s="313"/>
      <c r="AE26" s="313"/>
      <c r="AG26" s="314"/>
      <c r="AI26" s="313"/>
      <c r="AJ26" s="313"/>
      <c r="AK26" s="315"/>
    </row>
    <row r="27" spans="2:41">
      <c r="O27" s="313"/>
      <c r="Q27" s="313"/>
      <c r="S27" s="313"/>
      <c r="U27" s="313"/>
      <c r="W27" s="313"/>
      <c r="Y27" s="313"/>
      <c r="AA27" s="313"/>
      <c r="AC27" s="313"/>
      <c r="AE27" s="313"/>
      <c r="AG27" s="314"/>
      <c r="AI27" s="313"/>
      <c r="AJ27" s="313"/>
      <c r="AK27" s="315"/>
    </row>
  </sheetData>
  <mergeCells count="10">
    <mergeCell ref="B20:G20"/>
    <mergeCell ref="B6:B10"/>
    <mergeCell ref="C6:C19"/>
    <mergeCell ref="D6:D19"/>
    <mergeCell ref="E6:E19"/>
    <mergeCell ref="F6:F10"/>
    <mergeCell ref="B11:B15"/>
    <mergeCell ref="F11:F15"/>
    <mergeCell ref="B16:B19"/>
    <mergeCell ref="F16:F19"/>
  </mergeCells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53CD-6992-4309-B1BC-C762C34B237E}">
  <sheetPr>
    <tabColor theme="8" tint="0.79998168889431442"/>
  </sheetPr>
  <dimension ref="A1:AT246"/>
  <sheetViews>
    <sheetView zoomScale="80" zoomScaleNormal="80" workbookViewId="0">
      <pane xSplit="7" ySplit="3" topLeftCell="H46" activePane="bottomRight" state="frozen"/>
      <selection pane="topRight" activeCell="H1" sqref="H1"/>
      <selection pane="bottomLeft" activeCell="A4" sqref="A4"/>
      <selection pane="bottomRight" activeCell="H179" sqref="H179"/>
    </sheetView>
  </sheetViews>
  <sheetFormatPr baseColWidth="10" defaultColWidth="9" defaultRowHeight="17"/>
  <cols>
    <col min="1" max="1" width="1.6640625" style="211" customWidth="1"/>
    <col min="2" max="2" width="4.1640625" style="211" customWidth="1"/>
    <col min="3" max="4" width="11.6640625" style="212" customWidth="1"/>
    <col min="5" max="5" width="13.83203125" style="212" customWidth="1"/>
    <col min="6" max="6" width="22.6640625" style="211" customWidth="1"/>
    <col min="7" max="7" width="29.1640625" style="211" customWidth="1"/>
    <col min="8" max="8" width="12.1640625" style="211" customWidth="1"/>
    <col min="9" max="9" width="9.83203125" style="272" customWidth="1"/>
    <col min="10" max="10" width="12.1640625" style="211" customWidth="1"/>
    <col min="11" max="11" width="9.83203125" style="272" customWidth="1"/>
    <col min="12" max="12" width="12.1640625" style="211" customWidth="1"/>
    <col min="13" max="13" width="9.83203125" style="272" customWidth="1"/>
    <col min="14" max="14" width="12.1640625" style="211" customWidth="1"/>
    <col min="15" max="15" width="9.83203125" style="272" customWidth="1"/>
    <col min="16" max="16" width="12.1640625" style="211" hidden="1" customWidth="1"/>
    <col min="17" max="17" width="9.83203125" style="272" hidden="1" customWidth="1"/>
    <col min="18" max="18" width="12.1640625" style="211" hidden="1" customWidth="1"/>
    <col min="19" max="19" width="9.83203125" style="272" hidden="1" customWidth="1"/>
    <col min="20" max="20" width="12.1640625" style="211" hidden="1" customWidth="1"/>
    <col min="21" max="21" width="9.83203125" style="272" hidden="1" customWidth="1"/>
    <col min="22" max="22" width="12.1640625" style="211" hidden="1" customWidth="1"/>
    <col min="23" max="23" width="9.83203125" style="211" hidden="1" customWidth="1"/>
    <col min="24" max="24" width="12.1640625" style="211" hidden="1" customWidth="1"/>
    <col min="25" max="25" width="9.83203125" style="211" hidden="1" customWidth="1"/>
    <col min="26" max="26" width="12.1640625" style="211" hidden="1" customWidth="1"/>
    <col min="27" max="27" width="9.83203125" style="211" hidden="1" customWidth="1"/>
    <col min="28" max="28" width="12.1640625" style="211" hidden="1" customWidth="1"/>
    <col min="29" max="29" width="9.83203125" style="211" hidden="1" customWidth="1"/>
    <col min="30" max="30" width="12.1640625" style="211" hidden="1" customWidth="1"/>
    <col min="31" max="31" width="9.83203125" style="211" hidden="1" customWidth="1"/>
    <col min="32" max="32" width="12.1640625" style="211" hidden="1" customWidth="1"/>
    <col min="33" max="33" width="9.83203125" style="211" hidden="1" customWidth="1"/>
    <col min="34" max="34" width="12.1640625" style="211" hidden="1" customWidth="1"/>
    <col min="35" max="35" width="9.83203125" style="211" hidden="1" customWidth="1"/>
    <col min="36" max="36" width="12.1640625" style="211" hidden="1" customWidth="1"/>
    <col min="37" max="37" width="9.83203125" style="211" hidden="1" customWidth="1"/>
    <col min="38" max="38" width="12.1640625" style="272" hidden="1" customWidth="1"/>
    <col min="39" max="39" width="9.83203125" style="211" hidden="1" customWidth="1"/>
    <col min="40" max="40" width="17.5" style="211" bestFit="1" customWidth="1"/>
    <col min="41" max="41" width="9.83203125" style="272" customWidth="1"/>
    <col min="42" max="42" width="18.1640625" style="217" customWidth="1"/>
    <col min="43" max="43" width="14.1640625" style="211" bestFit="1" customWidth="1"/>
    <col min="44" max="44" width="16" style="211" customWidth="1"/>
    <col min="45" max="45" width="11.5" style="211" bestFit="1" customWidth="1"/>
    <col min="46" max="16384" width="9" style="211"/>
  </cols>
  <sheetData>
    <row r="1" spans="2:46" s="1" customFormat="1" ht="30.75" customHeight="1">
      <c r="B1" s="277"/>
      <c r="C1" s="277" t="s">
        <v>0</v>
      </c>
      <c r="D1" s="277"/>
      <c r="E1" s="277"/>
      <c r="F1" s="277"/>
      <c r="G1" s="277"/>
      <c r="I1" s="2"/>
      <c r="K1" s="2"/>
      <c r="M1" s="2"/>
      <c r="O1" s="2"/>
      <c r="Q1" s="2"/>
      <c r="S1" s="2"/>
      <c r="U1" s="2"/>
      <c r="W1" s="3"/>
      <c r="Y1" s="3"/>
      <c r="AA1" s="3"/>
      <c r="AD1" s="3"/>
      <c r="AE1" s="3"/>
      <c r="AG1" s="3"/>
      <c r="AI1" s="3"/>
      <c r="AK1" s="3"/>
      <c r="AL1" s="2"/>
      <c r="AM1" s="3"/>
      <c r="AO1" s="2"/>
      <c r="AP1" s="4"/>
    </row>
    <row r="2" spans="2:46" s="10" customFormat="1" ht="23.5" customHeight="1" thickBot="1">
      <c r="B2" s="5"/>
      <c r="C2" s="6"/>
      <c r="D2" s="5"/>
      <c r="E2" s="5"/>
      <c r="F2" s="7"/>
      <c r="G2" s="8"/>
      <c r="H2" s="419" t="s">
        <v>457</v>
      </c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19"/>
      <c r="AP2" s="9"/>
    </row>
    <row r="3" spans="2:46" s="5" customFormat="1" ht="52.5" customHeight="1" thickBot="1">
      <c r="B3" s="11"/>
      <c r="C3" s="11" t="s">
        <v>2</v>
      </c>
      <c r="D3" s="11" t="s">
        <v>3</v>
      </c>
      <c r="E3" s="12" t="s">
        <v>4</v>
      </c>
      <c r="F3" s="12" t="s">
        <v>5</v>
      </c>
      <c r="G3" s="13" t="s">
        <v>6</v>
      </c>
      <c r="H3" s="519" t="s">
        <v>7</v>
      </c>
      <c r="I3" s="17" t="s">
        <v>458</v>
      </c>
      <c r="J3" s="519" t="s">
        <v>8</v>
      </c>
      <c r="K3" s="17" t="s">
        <v>490</v>
      </c>
      <c r="L3" s="518" t="s">
        <v>9</v>
      </c>
      <c r="M3" s="655" t="s">
        <v>491</v>
      </c>
      <c r="N3" s="692" t="s">
        <v>10</v>
      </c>
      <c r="O3" s="15" t="s">
        <v>11</v>
      </c>
      <c r="P3" s="518" t="s">
        <v>12</v>
      </c>
      <c r="Q3" s="17" t="s">
        <v>13</v>
      </c>
      <c r="R3" s="518" t="s">
        <v>341</v>
      </c>
      <c r="S3" s="17" t="s">
        <v>15</v>
      </c>
      <c r="T3" s="518" t="s">
        <v>342</v>
      </c>
      <c r="U3" s="655" t="s">
        <v>17</v>
      </c>
      <c r="V3" s="692" t="s">
        <v>18</v>
      </c>
      <c r="W3" s="693" t="s">
        <v>19</v>
      </c>
      <c r="X3" s="518" t="s">
        <v>344</v>
      </c>
      <c r="Y3" s="17" t="s">
        <v>21</v>
      </c>
      <c r="Z3" s="518" t="s">
        <v>345</v>
      </c>
      <c r="AA3" s="17" t="s">
        <v>23</v>
      </c>
      <c r="AB3" s="518" t="s">
        <v>346</v>
      </c>
      <c r="AC3" s="655" t="s">
        <v>25</v>
      </c>
      <c r="AD3" s="692" t="s">
        <v>26</v>
      </c>
      <c r="AE3" s="693" t="s">
        <v>27</v>
      </c>
      <c r="AF3" s="518" t="s">
        <v>347</v>
      </c>
      <c r="AG3" s="17" t="s">
        <v>29</v>
      </c>
      <c r="AH3" s="518" t="s">
        <v>348</v>
      </c>
      <c r="AI3" s="17" t="s">
        <v>31</v>
      </c>
      <c r="AJ3" s="518" t="s">
        <v>32</v>
      </c>
      <c r="AK3" s="655" t="s">
        <v>33</v>
      </c>
      <c r="AL3" s="700" t="s">
        <v>34</v>
      </c>
      <c r="AM3" s="693" t="s">
        <v>35</v>
      </c>
      <c r="AN3" s="593" t="s">
        <v>463</v>
      </c>
      <c r="AO3" s="13" t="s">
        <v>37</v>
      </c>
      <c r="AP3" s="19"/>
    </row>
    <row r="4" spans="2:46" s="10" customFormat="1" ht="21.75" customHeight="1" thickTop="1">
      <c r="B4" s="449"/>
      <c r="C4" s="1103" t="s">
        <v>54</v>
      </c>
      <c r="D4" s="1105" t="s">
        <v>55</v>
      </c>
      <c r="E4" s="1107" t="s">
        <v>56</v>
      </c>
      <c r="F4" s="104" t="s">
        <v>46</v>
      </c>
      <c r="G4" s="445" t="s">
        <v>57</v>
      </c>
      <c r="H4" s="446">
        <f>'월별원가(류)5월'!Q11</f>
        <v>1298904.5454545454</v>
      </c>
      <c r="I4" s="90">
        <f>H4/H11</f>
        <v>4.0444378617050129E-2</v>
      </c>
      <c r="J4" s="446">
        <f>'월별원가(류)5월'!R11</f>
        <v>1029270.9090909089</v>
      </c>
      <c r="K4" s="90">
        <f>J4/J11</f>
        <v>3.6878229613324758E-2</v>
      </c>
      <c r="L4" s="446">
        <f>'월별원가(류)5월'!S11</f>
        <v>1021823.6363636364</v>
      </c>
      <c r="M4" s="661">
        <f>L4/L11</f>
        <v>3.310278983080539E-2</v>
      </c>
      <c r="N4" s="447">
        <f t="shared" ref="N4:N45" si="0">SUM(H4,J4,L4)</f>
        <v>3349999.0909090904</v>
      </c>
      <c r="O4" s="34">
        <f>N4/N11</f>
        <v>3.6856102437164785E-2</v>
      </c>
      <c r="P4" s="446"/>
      <c r="Q4" s="90" t="e">
        <f>P4/P11</f>
        <v>#DIV/0!</v>
      </c>
      <c r="R4" s="446"/>
      <c r="S4" s="90" t="e">
        <f>R4/R11</f>
        <v>#DIV/0!</v>
      </c>
      <c r="T4" s="446"/>
      <c r="U4" s="661" t="e">
        <f>T4/T11</f>
        <v>#DIV/0!</v>
      </c>
      <c r="V4" s="80">
        <f t="shared" ref="V4:V45" si="1">SUM(P4,R4,T4)</f>
        <v>0</v>
      </c>
      <c r="W4" s="34" t="e">
        <f>V4/V$27</f>
        <v>#DIV/0!</v>
      </c>
      <c r="X4" s="446"/>
      <c r="Y4" s="90" t="e">
        <f>X4/X11</f>
        <v>#DIV/0!</v>
      </c>
      <c r="Z4" s="446"/>
      <c r="AA4" s="90" t="e">
        <f>Z4/Z11</f>
        <v>#DIV/0!</v>
      </c>
      <c r="AB4" s="446"/>
      <c r="AC4" s="661" t="e">
        <f>AB4/AB11</f>
        <v>#DIV/0!</v>
      </c>
      <c r="AD4" s="447">
        <f t="shared" ref="AD4:AD45" si="2">SUM(X4,Z4,AB4)</f>
        <v>0</v>
      </c>
      <c r="AE4" s="34" t="e">
        <f>AD4/AD$27</f>
        <v>#DIV/0!</v>
      </c>
      <c r="AF4" s="446"/>
      <c r="AG4" s="90" t="e">
        <f>AF4/AF11</f>
        <v>#DIV/0!</v>
      </c>
      <c r="AH4" s="446"/>
      <c r="AI4" s="90" t="e">
        <f>AH4/AH11</f>
        <v>#DIV/0!</v>
      </c>
      <c r="AJ4" s="446"/>
      <c r="AK4" s="661" t="e">
        <f>AJ4/AJ11</f>
        <v>#DIV/0!</v>
      </c>
      <c r="AL4" s="447">
        <f t="shared" ref="AL4:AL45" si="3">SUM(AF4,AH4,AJ4)</f>
        <v>0</v>
      </c>
      <c r="AM4" s="34" t="e">
        <f>AL4/AL$27</f>
        <v>#DIV/0!</v>
      </c>
      <c r="AN4" s="586">
        <f>SUM(AD4,V4,N4,AL4)</f>
        <v>3349999.0909090904</v>
      </c>
      <c r="AO4" s="448"/>
      <c r="AP4" s="27"/>
      <c r="AQ4" s="28"/>
      <c r="AR4" s="28"/>
      <c r="AS4" s="28"/>
    </row>
    <row r="5" spans="2:46" s="10" customFormat="1" ht="21.75" customHeight="1" thickBot="1">
      <c r="B5" s="434"/>
      <c r="C5" s="1104"/>
      <c r="D5" s="1106"/>
      <c r="E5" s="1108"/>
      <c r="F5" s="471" t="s">
        <v>40</v>
      </c>
      <c r="G5" s="79" t="s">
        <v>57</v>
      </c>
      <c r="H5" s="401">
        <f>'월별원가(류)5월'!Q19</f>
        <v>1631721.8181818181</v>
      </c>
      <c r="I5" s="61">
        <f>H5/H16</f>
        <v>4.4456817351887938E-2</v>
      </c>
      <c r="J5" s="401">
        <f>'월별원가(류)5월'!R19</f>
        <v>1289300.9090909089</v>
      </c>
      <c r="K5" s="61">
        <f>J5/J16</f>
        <v>4.1560373470314167E-2</v>
      </c>
      <c r="L5" s="401">
        <f>'월별원가(류)5월'!S19</f>
        <v>1459183.6363636362</v>
      </c>
      <c r="M5" s="657">
        <f>L5/L16</f>
        <v>4.0488366327808729E-2</v>
      </c>
      <c r="N5" s="80">
        <f t="shared" si="0"/>
        <v>4380206.3636363633</v>
      </c>
      <c r="O5" s="60">
        <f>N5/N16</f>
        <v>4.2212565522392831E-2</v>
      </c>
      <c r="P5" s="401"/>
      <c r="Q5" s="61" t="e">
        <f>P5/P16</f>
        <v>#DIV/0!</v>
      </c>
      <c r="R5" s="401"/>
      <c r="S5" s="61" t="e">
        <f>R5/R16</f>
        <v>#DIV/0!</v>
      </c>
      <c r="T5" s="401"/>
      <c r="U5" s="657" t="e">
        <f>T5/T16</f>
        <v>#DIV/0!</v>
      </c>
      <c r="V5" s="80">
        <f t="shared" si="1"/>
        <v>0</v>
      </c>
      <c r="W5" s="60" t="e">
        <f>V5/V$27</f>
        <v>#DIV/0!</v>
      </c>
      <c r="X5" s="401"/>
      <c r="Y5" s="61" t="e">
        <f>X5/X16</f>
        <v>#DIV/0!</v>
      </c>
      <c r="Z5" s="401"/>
      <c r="AA5" s="61" t="e">
        <f>Z5/Z16</f>
        <v>#DIV/0!</v>
      </c>
      <c r="AB5" s="401"/>
      <c r="AC5" s="657" t="e">
        <f>AB5/AB16</f>
        <v>#DIV/0!</v>
      </c>
      <c r="AD5" s="80">
        <f t="shared" si="2"/>
        <v>0</v>
      </c>
      <c r="AE5" s="60" t="e">
        <f>AD5/AD$27</f>
        <v>#DIV/0!</v>
      </c>
      <c r="AF5" s="401"/>
      <c r="AG5" s="61" t="e">
        <f>AF5/AF16</f>
        <v>#DIV/0!</v>
      </c>
      <c r="AH5" s="401"/>
      <c r="AI5" s="61" t="e">
        <f>AH5/AH16</f>
        <v>#DIV/0!</v>
      </c>
      <c r="AJ5" s="401"/>
      <c r="AK5" s="657" t="e">
        <f>AJ5/AJ16</f>
        <v>#DIV/0!</v>
      </c>
      <c r="AL5" s="80">
        <f t="shared" si="3"/>
        <v>0</v>
      </c>
      <c r="AM5" s="60" t="e">
        <f>AL5/AL$27</f>
        <v>#DIV/0!</v>
      </c>
      <c r="AN5" s="585">
        <f>SUM(AD5,V5,N5,AL5)</f>
        <v>4380206.3636363633</v>
      </c>
      <c r="AO5" s="66"/>
      <c r="AP5" s="27"/>
      <c r="AQ5" s="28"/>
      <c r="AR5" s="28"/>
      <c r="AS5" s="28"/>
    </row>
    <row r="6" spans="2:46" s="10" customFormat="1" ht="21.75" customHeight="1" thickBot="1">
      <c r="B6" s="1113" t="s">
        <v>58</v>
      </c>
      <c r="C6" s="1114"/>
      <c r="D6" s="1114"/>
      <c r="E6" s="1114"/>
      <c r="F6" s="1114"/>
      <c r="G6" s="1115"/>
      <c r="H6" s="705">
        <f>SUM(H4:H5)</f>
        <v>2930626.3636363633</v>
      </c>
      <c r="I6" s="706">
        <f>H6/H27</f>
        <v>3.4547477718325288E-2</v>
      </c>
      <c r="J6" s="707">
        <f>SUM(J4:J5)</f>
        <v>2318571.8181818179</v>
      </c>
      <c r="K6" s="706">
        <f>J6/J27</f>
        <v>3.1432881314101095E-2</v>
      </c>
      <c r="L6" s="708">
        <f>SUM(L4:L5)</f>
        <v>2481007.2727272725</v>
      </c>
      <c r="M6" s="709">
        <f>L6/L27</f>
        <v>2.4404956069656324E-2</v>
      </c>
      <c r="N6" s="710">
        <f t="shared" si="0"/>
        <v>7730205.4545454541</v>
      </c>
      <c r="O6" s="711">
        <f>N6/N27</f>
        <v>2.9702821458135558E-2</v>
      </c>
      <c r="P6" s="708">
        <f>SUM(P4:P5)</f>
        <v>0</v>
      </c>
      <c r="Q6" s="706" t="e">
        <f>P6/P27</f>
        <v>#DIV/0!</v>
      </c>
      <c r="R6" s="708">
        <f>SUM(R4:R5)</f>
        <v>0</v>
      </c>
      <c r="S6" s="706" t="e">
        <f>R6/R27</f>
        <v>#DIV/0!</v>
      </c>
      <c r="T6" s="708">
        <f>SUM(T4:T5)</f>
        <v>0</v>
      </c>
      <c r="U6" s="709" t="e">
        <f>T6/T27</f>
        <v>#DIV/0!</v>
      </c>
      <c r="V6" s="710">
        <f t="shared" si="1"/>
        <v>0</v>
      </c>
      <c r="W6" s="712" t="e">
        <f>V6/V$27</f>
        <v>#DIV/0!</v>
      </c>
      <c r="X6" s="708">
        <f>SUM(X4:X5)</f>
        <v>0</v>
      </c>
      <c r="Y6" s="706" t="e">
        <f>X6/X27</f>
        <v>#DIV/0!</v>
      </c>
      <c r="Z6" s="708">
        <f>SUM(Z4:Z5)</f>
        <v>0</v>
      </c>
      <c r="AA6" s="706" t="e">
        <f>Z6/Z27</f>
        <v>#DIV/0!</v>
      </c>
      <c r="AB6" s="708">
        <f>SUM(AB4:AB5)</f>
        <v>0</v>
      </c>
      <c r="AC6" s="709" t="e">
        <f>AB6/AB27</f>
        <v>#DIV/0!</v>
      </c>
      <c r="AD6" s="710">
        <f t="shared" si="2"/>
        <v>0</v>
      </c>
      <c r="AE6" s="712" t="e">
        <f>AD6/AD$27</f>
        <v>#DIV/0!</v>
      </c>
      <c r="AF6" s="708">
        <f>SUM(AF4:AF5)</f>
        <v>0</v>
      </c>
      <c r="AG6" s="706" t="e">
        <f>AF6/AF27</f>
        <v>#DIV/0!</v>
      </c>
      <c r="AH6" s="708">
        <f>SUM(AH4:AH5)</f>
        <v>0</v>
      </c>
      <c r="AI6" s="706" t="e">
        <f>AH6/AH27</f>
        <v>#DIV/0!</v>
      </c>
      <c r="AJ6" s="708">
        <f>SUM(AJ4:AJ5)</f>
        <v>0</v>
      </c>
      <c r="AK6" s="709" t="e">
        <f>AJ6/AJ27</f>
        <v>#DIV/0!</v>
      </c>
      <c r="AL6" s="710">
        <f t="shared" si="3"/>
        <v>0</v>
      </c>
      <c r="AM6" s="712" t="e">
        <f>AL6/AL$27</f>
        <v>#DIV/0!</v>
      </c>
      <c r="AN6" s="710">
        <f>SUM(AN4:AN5)</f>
        <v>7730205.4545454532</v>
      </c>
      <c r="AO6" s="713"/>
      <c r="AP6" s="28"/>
      <c r="AQ6" s="28"/>
      <c r="AR6" s="28"/>
      <c r="AS6" s="28"/>
    </row>
    <row r="7" spans="2:46" s="10" customFormat="1" ht="18" customHeight="1" thickTop="1">
      <c r="B7" s="1111"/>
      <c r="C7" s="1111" t="s">
        <v>38</v>
      </c>
      <c r="D7" s="1109" t="s">
        <v>39</v>
      </c>
      <c r="E7" s="1109" t="s">
        <v>39</v>
      </c>
      <c r="F7" s="1121" t="s">
        <v>46</v>
      </c>
      <c r="G7" s="20" t="s">
        <v>41</v>
      </c>
      <c r="H7" s="57">
        <v>26032869</v>
      </c>
      <c r="I7" s="24">
        <f t="shared" ref="I7:I26" si="4">H7/H$27</f>
        <v>0.30688660038041493</v>
      </c>
      <c r="J7" s="444">
        <v>23030641</v>
      </c>
      <c r="K7" s="24">
        <f t="shared" ref="K7:K26" si="5">J7/J$27</f>
        <v>0.31222643157474206</v>
      </c>
      <c r="L7" s="21">
        <v>25936284</v>
      </c>
      <c r="M7" s="656">
        <f t="shared" ref="M7:M26" si="6">L7/L$27</f>
        <v>0.25512777757169863</v>
      </c>
      <c r="N7" s="22">
        <f t="shared" si="0"/>
        <v>74999794</v>
      </c>
      <c r="O7" s="23">
        <f t="shared" ref="O7:O16" si="7">N7/$N$27</f>
        <v>0.28818192526422814</v>
      </c>
      <c r="P7" s="21"/>
      <c r="Q7" s="24" t="e">
        <f>P7/$P$27</f>
        <v>#DIV/0!</v>
      </c>
      <c r="R7" s="21"/>
      <c r="S7" s="24" t="e">
        <f>R7/$R$27</f>
        <v>#DIV/0!</v>
      </c>
      <c r="T7" s="21"/>
      <c r="U7" s="656" t="e">
        <f>T7/$T$27</f>
        <v>#DIV/0!</v>
      </c>
      <c r="V7" s="22">
        <f t="shared" si="1"/>
        <v>0</v>
      </c>
      <c r="W7" s="23" t="e">
        <f t="shared" ref="W7:W19" si="8">V7/V$27</f>
        <v>#DIV/0!</v>
      </c>
      <c r="X7" s="21"/>
      <c r="Y7" s="24" t="e">
        <f>X7/X$27</f>
        <v>#DIV/0!</v>
      </c>
      <c r="Z7" s="21"/>
      <c r="AA7" s="24" t="e">
        <f>Z7/Z$27</f>
        <v>#DIV/0!</v>
      </c>
      <c r="AB7" s="21"/>
      <c r="AC7" s="656" t="e">
        <f>AB7/AB$27</f>
        <v>#DIV/0!</v>
      </c>
      <c r="AD7" s="22">
        <f t="shared" si="2"/>
        <v>0</v>
      </c>
      <c r="AE7" s="23" t="e">
        <f t="shared" ref="AE7:AE19" si="9">AD7/AD$27</f>
        <v>#DIV/0!</v>
      </c>
      <c r="AF7" s="21"/>
      <c r="AG7" s="24" t="e">
        <f>AF7/AF$27</f>
        <v>#DIV/0!</v>
      </c>
      <c r="AH7" s="21"/>
      <c r="AI7" s="24" t="e">
        <f>AH7/AH$27</f>
        <v>#DIV/0!</v>
      </c>
      <c r="AJ7" s="21"/>
      <c r="AK7" s="656" t="e">
        <f>AJ7/AJ$27</f>
        <v>#DIV/0!</v>
      </c>
      <c r="AL7" s="22">
        <f t="shared" si="3"/>
        <v>0</v>
      </c>
      <c r="AM7" s="23" t="e">
        <f t="shared" ref="AM7:AM19" si="10">AL7/AL$27</f>
        <v>#DIV/0!</v>
      </c>
      <c r="AN7" s="591">
        <f>SUM(N7+V7+AD7+AL7)</f>
        <v>74999794</v>
      </c>
      <c r="AO7" s="26"/>
      <c r="AP7" s="27"/>
      <c r="AQ7" s="28"/>
      <c r="AR7" s="28"/>
      <c r="AS7" s="28"/>
      <c r="AT7" s="28"/>
    </row>
    <row r="8" spans="2:46" s="10" customFormat="1" ht="18" customHeight="1">
      <c r="B8" s="1112"/>
      <c r="C8" s="1112"/>
      <c r="D8" s="1033"/>
      <c r="E8" s="1033"/>
      <c r="F8" s="1122"/>
      <c r="G8" s="55" t="s">
        <v>42</v>
      </c>
      <c r="H8" s="31">
        <v>4792500</v>
      </c>
      <c r="I8" s="61">
        <f t="shared" si="4"/>
        <v>5.6496040921311386E-2</v>
      </c>
      <c r="J8" s="67">
        <v>3709800</v>
      </c>
      <c r="K8" s="61">
        <f t="shared" si="5"/>
        <v>5.029376368013283E-2</v>
      </c>
      <c r="L8" s="68">
        <v>3612600</v>
      </c>
      <c r="M8" s="657">
        <f t="shared" si="6"/>
        <v>3.5536108767760199E-2</v>
      </c>
      <c r="N8" s="45">
        <f t="shared" si="0"/>
        <v>12114900</v>
      </c>
      <c r="O8" s="60">
        <f t="shared" si="7"/>
        <v>4.6550730611121374E-2</v>
      </c>
      <c r="P8" s="68"/>
      <c r="Q8" s="61" t="e">
        <f>P8/$P$27</f>
        <v>#DIV/0!</v>
      </c>
      <c r="R8" s="68"/>
      <c r="S8" s="61" t="e">
        <f>R8/$R$27</f>
        <v>#DIV/0!</v>
      </c>
      <c r="T8" s="68"/>
      <c r="U8" s="657" t="e">
        <f>T8/$T$27</f>
        <v>#DIV/0!</v>
      </c>
      <c r="V8" s="33">
        <f t="shared" si="1"/>
        <v>0</v>
      </c>
      <c r="W8" s="34" t="e">
        <f t="shared" si="8"/>
        <v>#DIV/0!</v>
      </c>
      <c r="X8" s="68"/>
      <c r="Y8" s="61" t="e">
        <f>X8/X$27</f>
        <v>#DIV/0!</v>
      </c>
      <c r="Z8" s="68"/>
      <c r="AA8" s="61" t="e">
        <f>Z8/Z$27</f>
        <v>#DIV/0!</v>
      </c>
      <c r="AB8" s="68"/>
      <c r="AC8" s="657" t="e">
        <f>AB8/AB$27</f>
        <v>#DIV/0!</v>
      </c>
      <c r="AD8" s="45">
        <f t="shared" si="2"/>
        <v>0</v>
      </c>
      <c r="AE8" s="34" t="e">
        <f t="shared" si="9"/>
        <v>#DIV/0!</v>
      </c>
      <c r="AF8" s="68"/>
      <c r="AG8" s="61" t="e">
        <f>AF8/AF$27</f>
        <v>#DIV/0!</v>
      </c>
      <c r="AH8" s="68"/>
      <c r="AI8" s="61" t="e">
        <f>AH8/AH$27</f>
        <v>#DIV/0!</v>
      </c>
      <c r="AJ8" s="68"/>
      <c r="AK8" s="657" t="e">
        <f>AJ8/AJ$27</f>
        <v>#DIV/0!</v>
      </c>
      <c r="AL8" s="701">
        <f t="shared" si="3"/>
        <v>0</v>
      </c>
      <c r="AM8" s="34" t="e">
        <f t="shared" si="10"/>
        <v>#DIV/0!</v>
      </c>
      <c r="AN8" s="586">
        <f>SUM(N8+V8+AD8+AL8)</f>
        <v>12114900</v>
      </c>
      <c r="AO8" s="40"/>
      <c r="AP8" s="27"/>
      <c r="AQ8" s="28"/>
      <c r="AR8" s="28"/>
      <c r="AS8" s="28"/>
      <c r="AT8" s="28"/>
    </row>
    <row r="9" spans="2:46" s="10" customFormat="1" ht="18" customHeight="1">
      <c r="B9" s="1112"/>
      <c r="C9" s="1112"/>
      <c r="D9" s="1033"/>
      <c r="E9" s="1033"/>
      <c r="F9" s="1122"/>
      <c r="G9" s="69" t="s">
        <v>43</v>
      </c>
      <c r="H9" s="31">
        <v>271364</v>
      </c>
      <c r="I9" s="61">
        <f t="shared" si="4"/>
        <v>3.1989549605781413E-3</v>
      </c>
      <c r="J9" s="30">
        <v>271364</v>
      </c>
      <c r="K9" s="61">
        <f t="shared" si="5"/>
        <v>3.6788821196009395E-3</v>
      </c>
      <c r="L9" s="32">
        <v>282955</v>
      </c>
      <c r="M9" s="657">
        <f t="shared" si="6"/>
        <v>2.7833470786640057E-3</v>
      </c>
      <c r="N9" s="33">
        <f t="shared" si="0"/>
        <v>825683</v>
      </c>
      <c r="O9" s="60">
        <f t="shared" si="7"/>
        <v>3.1726342688080406E-3</v>
      </c>
      <c r="P9" s="32"/>
      <c r="Q9" s="61" t="e">
        <f>P9/$P$27</f>
        <v>#DIV/0!</v>
      </c>
      <c r="R9" s="32"/>
      <c r="S9" s="61" t="e">
        <f>R9/$R$27</f>
        <v>#DIV/0!</v>
      </c>
      <c r="T9" s="32"/>
      <c r="U9" s="657" t="e">
        <f>T9/$T$27</f>
        <v>#DIV/0!</v>
      </c>
      <c r="V9" s="33">
        <f t="shared" si="1"/>
        <v>0</v>
      </c>
      <c r="W9" s="34" t="e">
        <f t="shared" si="8"/>
        <v>#DIV/0!</v>
      </c>
      <c r="X9" s="32"/>
      <c r="Y9" s="61" t="e">
        <f>X9/X$27</f>
        <v>#DIV/0!</v>
      </c>
      <c r="Z9" s="32"/>
      <c r="AA9" s="61" t="e">
        <f>Z9/Z$27</f>
        <v>#DIV/0!</v>
      </c>
      <c r="AB9" s="32"/>
      <c r="AC9" s="657" t="e">
        <f>AB9/AB$27</f>
        <v>#DIV/0!</v>
      </c>
      <c r="AD9" s="33">
        <f t="shared" si="2"/>
        <v>0</v>
      </c>
      <c r="AE9" s="34" t="e">
        <f t="shared" si="9"/>
        <v>#DIV/0!</v>
      </c>
      <c r="AF9" s="32"/>
      <c r="AG9" s="61" t="e">
        <f>AF9/AF$27</f>
        <v>#DIV/0!</v>
      </c>
      <c r="AH9" s="32"/>
      <c r="AI9" s="61" t="e">
        <f>AH9/AH$27</f>
        <v>#DIV/0!</v>
      </c>
      <c r="AJ9" s="32"/>
      <c r="AK9" s="657" t="e">
        <f>AJ9/AJ$27</f>
        <v>#DIV/0!</v>
      </c>
      <c r="AL9" s="33">
        <f t="shared" si="3"/>
        <v>0</v>
      </c>
      <c r="AM9" s="34" t="e">
        <f t="shared" si="10"/>
        <v>#DIV/0!</v>
      </c>
      <c r="AN9" s="586">
        <f>SUM(N9+V9+AD9+AL9)</f>
        <v>825683</v>
      </c>
      <c r="AO9" s="40"/>
      <c r="AP9" s="27"/>
      <c r="AQ9" s="28"/>
      <c r="AR9" s="28"/>
      <c r="AS9" s="28"/>
      <c r="AT9" s="28"/>
    </row>
    <row r="10" spans="2:46" s="10" customFormat="1" ht="18" customHeight="1">
      <c r="B10" s="1112"/>
      <c r="C10" s="1112"/>
      <c r="D10" s="1033"/>
      <c r="E10" s="1033"/>
      <c r="F10" s="1122"/>
      <c r="G10" s="41" t="s">
        <v>44</v>
      </c>
      <c r="H10" s="42">
        <v>1019091</v>
      </c>
      <c r="I10" s="61">
        <f t="shared" si="4"/>
        <v>1.2013480821813279E-2</v>
      </c>
      <c r="J10" s="42">
        <v>898182</v>
      </c>
      <c r="K10" s="61">
        <f t="shared" si="5"/>
        <v>1.2176654603954139E-2</v>
      </c>
      <c r="L10" s="68">
        <v>1036364</v>
      </c>
      <c r="M10" s="657">
        <f t="shared" si="6"/>
        <v>1.0194415054805688E-2</v>
      </c>
      <c r="N10" s="45">
        <f t="shared" si="0"/>
        <v>2953637</v>
      </c>
      <c r="O10" s="60">
        <f t="shared" si="7"/>
        <v>1.1349161801586535E-2</v>
      </c>
      <c r="P10" s="68"/>
      <c r="Q10" s="61" t="e">
        <f>P10/$P$27</f>
        <v>#DIV/0!</v>
      </c>
      <c r="R10" s="68"/>
      <c r="S10" s="61" t="e">
        <f>R10/$R$27</f>
        <v>#DIV/0!</v>
      </c>
      <c r="T10" s="68"/>
      <c r="U10" s="657" t="e">
        <f>T10/$T$27</f>
        <v>#DIV/0!</v>
      </c>
      <c r="V10" s="33">
        <f t="shared" si="1"/>
        <v>0</v>
      </c>
      <c r="W10" s="34" t="e">
        <f t="shared" si="8"/>
        <v>#DIV/0!</v>
      </c>
      <c r="X10" s="68"/>
      <c r="Y10" s="61" t="e">
        <f>X10/X$27</f>
        <v>#DIV/0!</v>
      </c>
      <c r="Z10" s="68"/>
      <c r="AA10" s="61" t="e">
        <f>Z10/Z$27</f>
        <v>#DIV/0!</v>
      </c>
      <c r="AB10" s="68"/>
      <c r="AC10" s="657" t="e">
        <f>AB10/AB$27</f>
        <v>#DIV/0!</v>
      </c>
      <c r="AD10" s="701">
        <f t="shared" si="2"/>
        <v>0</v>
      </c>
      <c r="AE10" s="34" t="e">
        <f t="shared" si="9"/>
        <v>#DIV/0!</v>
      </c>
      <c r="AF10" s="68"/>
      <c r="AG10" s="61" t="e">
        <f>AF10/AF$27</f>
        <v>#DIV/0!</v>
      </c>
      <c r="AH10" s="68"/>
      <c r="AI10" s="61" t="e">
        <f>AH10/AH$27</f>
        <v>#DIV/0!</v>
      </c>
      <c r="AJ10" s="68"/>
      <c r="AK10" s="657" t="e">
        <f>AJ10/AJ$27</f>
        <v>#DIV/0!</v>
      </c>
      <c r="AL10" s="701">
        <f t="shared" si="3"/>
        <v>0</v>
      </c>
      <c r="AM10" s="34" t="e">
        <f t="shared" si="10"/>
        <v>#DIV/0!</v>
      </c>
      <c r="AN10" s="592">
        <f>SUM(N10+V10+AD10+AL10)</f>
        <v>2953637</v>
      </c>
      <c r="AO10" s="70"/>
      <c r="AP10" s="27"/>
      <c r="AQ10" s="28"/>
      <c r="AR10" s="411"/>
      <c r="AS10" s="28"/>
      <c r="AT10" s="28"/>
    </row>
    <row r="11" spans="2:46" s="10" customFormat="1" ht="18" customHeight="1">
      <c r="B11" s="1112"/>
      <c r="C11" s="1112"/>
      <c r="D11" s="1033"/>
      <c r="E11" s="1033"/>
      <c r="F11" s="1123"/>
      <c r="G11" s="435" t="s">
        <v>47</v>
      </c>
      <c r="H11" s="303">
        <f>SUM(H7:H10)</f>
        <v>32115824</v>
      </c>
      <c r="I11" s="297">
        <f t="shared" si="4"/>
        <v>0.37859507708411771</v>
      </c>
      <c r="J11" s="303">
        <f>SUM(J7:J10)</f>
        <v>27909987</v>
      </c>
      <c r="K11" s="297">
        <f t="shared" si="5"/>
        <v>0.37837573197842994</v>
      </c>
      <c r="L11" s="436">
        <f>SUM(L7:L10)</f>
        <v>30868203</v>
      </c>
      <c r="M11" s="658">
        <f t="shared" si="6"/>
        <v>0.30364164847292852</v>
      </c>
      <c r="N11" s="437">
        <f t="shared" si="0"/>
        <v>90894014</v>
      </c>
      <c r="O11" s="438">
        <f t="shared" si="7"/>
        <v>0.34925445194574406</v>
      </c>
      <c r="P11" s="436">
        <f>SUM(P7:P10)</f>
        <v>0</v>
      </c>
      <c r="Q11" s="297" t="e">
        <f>P11/P27</f>
        <v>#DIV/0!</v>
      </c>
      <c r="R11" s="436">
        <f>SUM(R7:R10)</f>
        <v>0</v>
      </c>
      <c r="S11" s="297" t="e">
        <f>R11/R27</f>
        <v>#DIV/0!</v>
      </c>
      <c r="T11" s="436">
        <f>SUM(T7:T10)</f>
        <v>0</v>
      </c>
      <c r="U11" s="658" t="e">
        <f>T11/T27</f>
        <v>#DIV/0!</v>
      </c>
      <c r="V11" s="437">
        <f t="shared" si="1"/>
        <v>0</v>
      </c>
      <c r="W11" s="694" t="e">
        <f t="shared" si="8"/>
        <v>#DIV/0!</v>
      </c>
      <c r="X11" s="436">
        <f>SUM(X7:X10)</f>
        <v>0</v>
      </c>
      <c r="Y11" s="297" t="e">
        <f>X11/X27</f>
        <v>#DIV/0!</v>
      </c>
      <c r="Z11" s="436">
        <f>SUM(Z7:Z10)</f>
        <v>0</v>
      </c>
      <c r="AA11" s="297" t="e">
        <f>Z11/Z27</f>
        <v>#DIV/0!</v>
      </c>
      <c r="AB11" s="436">
        <f>SUM(AB7:AB10)</f>
        <v>0</v>
      </c>
      <c r="AC11" s="658" t="e">
        <f>AB11/AB27</f>
        <v>#DIV/0!</v>
      </c>
      <c r="AD11" s="437">
        <f t="shared" si="2"/>
        <v>0</v>
      </c>
      <c r="AE11" s="694" t="e">
        <f t="shared" si="9"/>
        <v>#DIV/0!</v>
      </c>
      <c r="AF11" s="436">
        <f>SUM(AF7:AF10)</f>
        <v>0</v>
      </c>
      <c r="AG11" s="297" t="e">
        <f>AF11/AF27</f>
        <v>#DIV/0!</v>
      </c>
      <c r="AH11" s="436">
        <f>SUM(AH7:AH10)</f>
        <v>0</v>
      </c>
      <c r="AI11" s="297" t="e">
        <f>AH11/AH27</f>
        <v>#DIV/0!</v>
      </c>
      <c r="AJ11" s="436">
        <f>SUM(AJ7:AJ10)</f>
        <v>0</v>
      </c>
      <c r="AK11" s="658" t="e">
        <f>AJ11/AJ27</f>
        <v>#DIV/0!</v>
      </c>
      <c r="AL11" s="437">
        <f t="shared" si="3"/>
        <v>0</v>
      </c>
      <c r="AM11" s="694" t="e">
        <f t="shared" si="10"/>
        <v>#DIV/0!</v>
      </c>
      <c r="AN11" s="295">
        <f>SUM(AN7:AN10)</f>
        <v>90894014</v>
      </c>
      <c r="AO11" s="439"/>
      <c r="AQ11" s="28"/>
      <c r="AR11" s="411"/>
      <c r="AS11" s="28"/>
      <c r="AT11" s="28"/>
    </row>
    <row r="12" spans="2:46" s="10" customFormat="1" ht="18" customHeight="1" thickBot="1">
      <c r="B12" s="1112"/>
      <c r="C12" s="1112"/>
      <c r="D12" s="1033"/>
      <c r="E12" s="1033"/>
      <c r="F12" s="1119" t="s">
        <v>40</v>
      </c>
      <c r="G12" s="55" t="s">
        <v>41</v>
      </c>
      <c r="H12" s="57">
        <v>29669531</v>
      </c>
      <c r="I12" s="61">
        <f t="shared" si="4"/>
        <v>0.34975712832386369</v>
      </c>
      <c r="J12" s="57">
        <v>25419534</v>
      </c>
      <c r="K12" s="61">
        <f t="shared" si="5"/>
        <v>0.34461265724704881</v>
      </c>
      <c r="L12" s="58">
        <v>29658333</v>
      </c>
      <c r="M12" s="657">
        <f t="shared" si="6"/>
        <v>0.29174050472193203</v>
      </c>
      <c r="N12" s="59">
        <f t="shared" si="0"/>
        <v>84747398</v>
      </c>
      <c r="O12" s="60">
        <f t="shared" si="7"/>
        <v>0.32563647197182694</v>
      </c>
      <c r="P12" s="58"/>
      <c r="Q12" s="61" t="e">
        <f>P12/$P$27</f>
        <v>#DIV/0!</v>
      </c>
      <c r="R12" s="58"/>
      <c r="S12" s="61" t="e">
        <f>R12/$R$27</f>
        <v>#DIV/0!</v>
      </c>
      <c r="T12" s="58"/>
      <c r="U12" s="657" t="e">
        <f>T12/$T$27</f>
        <v>#DIV/0!</v>
      </c>
      <c r="V12" s="59">
        <f t="shared" si="1"/>
        <v>0</v>
      </c>
      <c r="W12" s="60" t="e">
        <f t="shared" si="8"/>
        <v>#DIV/0!</v>
      </c>
      <c r="X12" s="58"/>
      <c r="Y12" s="61" t="e">
        <f>X12/X$27</f>
        <v>#DIV/0!</v>
      </c>
      <c r="Z12" s="58"/>
      <c r="AA12" s="61" t="e">
        <f>Z12/Z$27</f>
        <v>#DIV/0!</v>
      </c>
      <c r="AB12" s="58"/>
      <c r="AC12" s="657" t="e">
        <f>AB12/AB$27</f>
        <v>#DIV/0!</v>
      </c>
      <c r="AD12" s="59">
        <f t="shared" si="2"/>
        <v>0</v>
      </c>
      <c r="AE12" s="60" t="e">
        <f t="shared" si="9"/>
        <v>#DIV/0!</v>
      </c>
      <c r="AF12" s="58"/>
      <c r="AG12" s="61" t="e">
        <f>AF12/AF$27</f>
        <v>#DIV/0!</v>
      </c>
      <c r="AH12" s="58"/>
      <c r="AI12" s="61" t="e">
        <f>AH12/AH$27</f>
        <v>#DIV/0!</v>
      </c>
      <c r="AJ12" s="58"/>
      <c r="AK12" s="657" t="e">
        <f>AJ12/AJ$27</f>
        <v>#DIV/0!</v>
      </c>
      <c r="AL12" s="59">
        <f t="shared" si="3"/>
        <v>0</v>
      </c>
      <c r="AM12" s="60" t="e">
        <f t="shared" si="10"/>
        <v>#DIV/0!</v>
      </c>
      <c r="AN12" s="585">
        <f>SUM(AD12,V12,N12,AL12)</f>
        <v>84747398</v>
      </c>
      <c r="AO12" s="66"/>
      <c r="AP12" s="27"/>
      <c r="AQ12" s="28"/>
      <c r="AR12" s="28"/>
      <c r="AS12" s="28"/>
      <c r="AT12" s="28"/>
    </row>
    <row r="13" spans="2:46" s="10" customFormat="1" ht="18" customHeight="1" thickTop="1" thickBot="1">
      <c r="B13" s="1112"/>
      <c r="C13" s="1112"/>
      <c r="D13" s="1033"/>
      <c r="E13" s="1033"/>
      <c r="F13" s="1119"/>
      <c r="G13" s="29" t="s">
        <v>42</v>
      </c>
      <c r="H13" s="31">
        <v>6107400</v>
      </c>
      <c r="I13" s="24">
        <f t="shared" si="4"/>
        <v>7.1996644824792302E-2</v>
      </c>
      <c r="J13" s="31">
        <v>4760100</v>
      </c>
      <c r="K13" s="24">
        <f t="shared" si="5"/>
        <v>6.4532682218394602E-2</v>
      </c>
      <c r="L13" s="32">
        <v>5524200</v>
      </c>
      <c r="M13" s="656">
        <f t="shared" si="6"/>
        <v>5.4339969012583977E-2</v>
      </c>
      <c r="N13" s="33">
        <f t="shared" si="0"/>
        <v>16391700</v>
      </c>
      <c r="O13" s="34">
        <f t="shared" si="7"/>
        <v>6.2984061854271869E-2</v>
      </c>
      <c r="P13" s="32"/>
      <c r="Q13" s="24" t="e">
        <f>P13/$P$27</f>
        <v>#DIV/0!</v>
      </c>
      <c r="R13" s="32"/>
      <c r="S13" s="24" t="e">
        <f>R13/$R$27</f>
        <v>#DIV/0!</v>
      </c>
      <c r="T13" s="32"/>
      <c r="U13" s="656" t="e">
        <f>T13/$T$27</f>
        <v>#DIV/0!</v>
      </c>
      <c r="V13" s="33">
        <f t="shared" si="1"/>
        <v>0</v>
      </c>
      <c r="W13" s="34" t="e">
        <f t="shared" si="8"/>
        <v>#DIV/0!</v>
      </c>
      <c r="X13" s="32"/>
      <c r="Y13" s="24" t="e">
        <f>X13/X$27</f>
        <v>#DIV/0!</v>
      </c>
      <c r="Z13" s="32"/>
      <c r="AA13" s="24" t="e">
        <f>Z13/Z$27</f>
        <v>#DIV/0!</v>
      </c>
      <c r="AB13" s="32"/>
      <c r="AC13" s="656" t="e">
        <f>AB13/AB$27</f>
        <v>#DIV/0!</v>
      </c>
      <c r="AD13" s="33">
        <f t="shared" si="2"/>
        <v>0</v>
      </c>
      <c r="AE13" s="34" t="e">
        <f t="shared" si="9"/>
        <v>#DIV/0!</v>
      </c>
      <c r="AF13" s="32"/>
      <c r="AG13" s="24" t="e">
        <f>AF13/AF$27</f>
        <v>#DIV/0!</v>
      </c>
      <c r="AH13" s="32"/>
      <c r="AI13" s="24" t="e">
        <f>AH13/AH$27</f>
        <v>#DIV/0!</v>
      </c>
      <c r="AJ13" s="32"/>
      <c r="AK13" s="656" t="e">
        <f>AJ13/AJ$27</f>
        <v>#DIV/0!</v>
      </c>
      <c r="AL13" s="33">
        <f t="shared" si="3"/>
        <v>0</v>
      </c>
      <c r="AM13" s="34" t="e">
        <f t="shared" si="10"/>
        <v>#DIV/0!</v>
      </c>
      <c r="AN13" s="586">
        <f>SUM(N13+V13+AD13+AL13)</f>
        <v>16391700</v>
      </c>
      <c r="AO13" s="40"/>
      <c r="AP13" s="27"/>
      <c r="AQ13" s="28"/>
      <c r="AR13" s="28"/>
      <c r="AS13" s="28"/>
      <c r="AT13" s="28"/>
    </row>
    <row r="14" spans="2:46" s="10" customFormat="1" ht="18" customHeight="1" thickTop="1" thickBot="1">
      <c r="B14" s="1112"/>
      <c r="C14" s="1112"/>
      <c r="D14" s="1033"/>
      <c r="E14" s="1033"/>
      <c r="F14" s="1119"/>
      <c r="G14" s="29" t="s">
        <v>43</v>
      </c>
      <c r="H14" s="31">
        <v>926592</v>
      </c>
      <c r="I14" s="24">
        <f t="shared" si="4"/>
        <v>1.092306302542718E-2</v>
      </c>
      <c r="J14" s="31">
        <v>842727</v>
      </c>
      <c r="K14" s="24">
        <f t="shared" si="5"/>
        <v>1.1424851093015068E-2</v>
      </c>
      <c r="L14" s="32">
        <v>857045</v>
      </c>
      <c r="M14" s="656">
        <f t="shared" si="6"/>
        <v>8.4305055469371202E-3</v>
      </c>
      <c r="N14" s="33">
        <f t="shared" si="0"/>
        <v>2626364</v>
      </c>
      <c r="O14" s="34">
        <f t="shared" si="7"/>
        <v>1.0091636171222806E-2</v>
      </c>
      <c r="P14" s="32"/>
      <c r="Q14" s="24" t="e">
        <f>P14/$P$27</f>
        <v>#DIV/0!</v>
      </c>
      <c r="R14" s="32"/>
      <c r="S14" s="24" t="e">
        <f>R14/$R$27</f>
        <v>#DIV/0!</v>
      </c>
      <c r="T14" s="32"/>
      <c r="U14" s="656" t="e">
        <f>T14/$T$27</f>
        <v>#DIV/0!</v>
      </c>
      <c r="V14" s="33">
        <f t="shared" si="1"/>
        <v>0</v>
      </c>
      <c r="W14" s="34" t="e">
        <f t="shared" si="8"/>
        <v>#DIV/0!</v>
      </c>
      <c r="X14" s="32"/>
      <c r="Y14" s="24" t="e">
        <f>X14/X$27</f>
        <v>#DIV/0!</v>
      </c>
      <c r="Z14" s="32"/>
      <c r="AA14" s="24" t="e">
        <f>Z14/Z$27</f>
        <v>#DIV/0!</v>
      </c>
      <c r="AB14" s="32"/>
      <c r="AC14" s="656" t="e">
        <f>AB14/AB$27</f>
        <v>#DIV/0!</v>
      </c>
      <c r="AD14" s="33">
        <f t="shared" si="2"/>
        <v>0</v>
      </c>
      <c r="AE14" s="34" t="e">
        <f t="shared" si="9"/>
        <v>#DIV/0!</v>
      </c>
      <c r="AF14" s="32"/>
      <c r="AG14" s="24" t="e">
        <f>AF14/AF$27</f>
        <v>#DIV/0!</v>
      </c>
      <c r="AH14" s="32"/>
      <c r="AI14" s="24" t="e">
        <f>AH14/AH$27</f>
        <v>#DIV/0!</v>
      </c>
      <c r="AJ14" s="32"/>
      <c r="AK14" s="656" t="e">
        <f>AJ14/AJ$27</f>
        <v>#DIV/0!</v>
      </c>
      <c r="AL14" s="33">
        <f t="shared" si="3"/>
        <v>0</v>
      </c>
      <c r="AM14" s="34" t="e">
        <f t="shared" si="10"/>
        <v>#DIV/0!</v>
      </c>
      <c r="AN14" s="586">
        <f>SUM(N14+V14+AD14+AL14)</f>
        <v>2626364</v>
      </c>
      <c r="AO14" s="40"/>
      <c r="AP14" s="27"/>
      <c r="AQ14" s="28"/>
      <c r="AR14" s="28"/>
      <c r="AS14" s="28"/>
      <c r="AT14" s="28"/>
    </row>
    <row r="15" spans="2:46" s="10" customFormat="1" ht="18" customHeight="1" thickTop="1">
      <c r="B15" s="1112"/>
      <c r="C15" s="1112"/>
      <c r="D15" s="1033"/>
      <c r="E15" s="1033"/>
      <c r="F15" s="1119"/>
      <c r="G15" s="41" t="s">
        <v>44</v>
      </c>
      <c r="H15" s="43">
        <v>0</v>
      </c>
      <c r="I15" s="24">
        <f t="shared" si="4"/>
        <v>0</v>
      </c>
      <c r="J15" s="43">
        <v>0</v>
      </c>
      <c r="K15" s="24">
        <f t="shared" si="5"/>
        <v>0</v>
      </c>
      <c r="L15" s="44">
        <v>0</v>
      </c>
      <c r="M15" s="656">
        <f t="shared" si="6"/>
        <v>0</v>
      </c>
      <c r="N15" s="45">
        <f t="shared" si="0"/>
        <v>0</v>
      </c>
      <c r="O15" s="34">
        <f t="shared" si="7"/>
        <v>0</v>
      </c>
      <c r="P15" s="44"/>
      <c r="Q15" s="24" t="e">
        <f>P15/$P$27</f>
        <v>#DIV/0!</v>
      </c>
      <c r="R15" s="44"/>
      <c r="S15" s="24" t="e">
        <f>R15/$R$27</f>
        <v>#DIV/0!</v>
      </c>
      <c r="T15" s="44"/>
      <c r="U15" s="656" t="e">
        <f>T15/$T$27</f>
        <v>#DIV/0!</v>
      </c>
      <c r="V15" s="33">
        <f t="shared" si="1"/>
        <v>0</v>
      </c>
      <c r="W15" s="34" t="e">
        <f t="shared" si="8"/>
        <v>#DIV/0!</v>
      </c>
      <c r="X15" s="44"/>
      <c r="Y15" s="24" t="e">
        <f>X15/X$27</f>
        <v>#DIV/0!</v>
      </c>
      <c r="Z15" s="44"/>
      <c r="AA15" s="24" t="e">
        <f>Z15/Z$27</f>
        <v>#DIV/0!</v>
      </c>
      <c r="AB15" s="44"/>
      <c r="AC15" s="656" t="e">
        <f>AB15/AB$27</f>
        <v>#DIV/0!</v>
      </c>
      <c r="AD15" s="45">
        <f t="shared" si="2"/>
        <v>0</v>
      </c>
      <c r="AE15" s="34" t="e">
        <f t="shared" si="9"/>
        <v>#DIV/0!</v>
      </c>
      <c r="AF15" s="44"/>
      <c r="AG15" s="24" t="e">
        <f>AF15/AF$27</f>
        <v>#DIV/0!</v>
      </c>
      <c r="AH15" s="44"/>
      <c r="AI15" s="24" t="e">
        <f>AH15/AH$27</f>
        <v>#DIV/0!</v>
      </c>
      <c r="AJ15" s="44"/>
      <c r="AK15" s="656" t="e">
        <f>AJ15/AJ$27</f>
        <v>#DIV/0!</v>
      </c>
      <c r="AL15" s="45">
        <f t="shared" si="3"/>
        <v>0</v>
      </c>
      <c r="AM15" s="34" t="e">
        <f t="shared" si="10"/>
        <v>#DIV/0!</v>
      </c>
      <c r="AN15" s="590">
        <f>SUM(N15+V15+AD15+AL15)</f>
        <v>0</v>
      </c>
      <c r="AO15" s="46"/>
      <c r="AP15" s="27"/>
      <c r="AQ15" s="28"/>
      <c r="AR15" s="28"/>
      <c r="AS15" s="28"/>
      <c r="AT15" s="28"/>
    </row>
    <row r="16" spans="2:46" s="10" customFormat="1" ht="18" customHeight="1" thickBot="1">
      <c r="B16" s="1112"/>
      <c r="C16" s="1112"/>
      <c r="D16" s="1033"/>
      <c r="E16" s="1033"/>
      <c r="F16" s="1120"/>
      <c r="G16" s="47" t="s">
        <v>45</v>
      </c>
      <c r="H16" s="48">
        <f>SUM(H12:H15)</f>
        <v>36703523</v>
      </c>
      <c r="I16" s="53">
        <f t="shared" si="4"/>
        <v>0.43267683617408315</v>
      </c>
      <c r="J16" s="48">
        <f>SUM(J12:J15)</f>
        <v>31022361</v>
      </c>
      <c r="K16" s="53">
        <f t="shared" si="5"/>
        <v>0.42057019055845846</v>
      </c>
      <c r="L16" s="50">
        <f>SUM(L12:L15)</f>
        <v>36039578</v>
      </c>
      <c r="M16" s="659">
        <f t="shared" si="6"/>
        <v>0.35451097928145309</v>
      </c>
      <c r="N16" s="51">
        <f t="shared" si="0"/>
        <v>103765462</v>
      </c>
      <c r="O16" s="52">
        <f t="shared" si="7"/>
        <v>0.39871216999732162</v>
      </c>
      <c r="P16" s="50">
        <f>SUM(P12:P15)</f>
        <v>0</v>
      </c>
      <c r="Q16" s="53" t="e">
        <f>P16/$P$27</f>
        <v>#DIV/0!</v>
      </c>
      <c r="R16" s="50">
        <f>SUM(R12:R15)</f>
        <v>0</v>
      </c>
      <c r="S16" s="53" t="e">
        <f>R16/$R$27</f>
        <v>#DIV/0!</v>
      </c>
      <c r="T16" s="50">
        <f>SUM(T12:T15)</f>
        <v>0</v>
      </c>
      <c r="U16" s="659" t="e">
        <f>T16/$T$27</f>
        <v>#DIV/0!</v>
      </c>
      <c r="V16" s="51">
        <f t="shared" si="1"/>
        <v>0</v>
      </c>
      <c r="W16" s="694" t="e">
        <f t="shared" si="8"/>
        <v>#DIV/0!</v>
      </c>
      <c r="X16" s="50">
        <f>SUM(X12:X15)</f>
        <v>0</v>
      </c>
      <c r="Y16" s="53" t="e">
        <f>X16/X27</f>
        <v>#DIV/0!</v>
      </c>
      <c r="Z16" s="50">
        <f>SUM(Z12:Z15)</f>
        <v>0</v>
      </c>
      <c r="AA16" s="53" t="e">
        <f>Z16/Z27</f>
        <v>#DIV/0!</v>
      </c>
      <c r="AB16" s="50">
        <f>SUM(AB12:AB15)</f>
        <v>0</v>
      </c>
      <c r="AC16" s="659" t="e">
        <f>AB16/AB27</f>
        <v>#DIV/0!</v>
      </c>
      <c r="AD16" s="51">
        <f t="shared" si="2"/>
        <v>0</v>
      </c>
      <c r="AE16" s="694" t="e">
        <f t="shared" si="9"/>
        <v>#DIV/0!</v>
      </c>
      <c r="AF16" s="50">
        <f>SUM(AF12:AF15)</f>
        <v>0</v>
      </c>
      <c r="AG16" s="53" t="e">
        <f>AF16/AF27</f>
        <v>#DIV/0!</v>
      </c>
      <c r="AH16" s="50">
        <f>SUM(AH12:AH15)</f>
        <v>0</v>
      </c>
      <c r="AI16" s="53" t="e">
        <f>AH16/AH27</f>
        <v>#DIV/0!</v>
      </c>
      <c r="AJ16" s="50">
        <f>SUM(AJ12:AJ15)</f>
        <v>0</v>
      </c>
      <c r="AK16" s="659" t="e">
        <f>AJ16/AJ27</f>
        <v>#DIV/0!</v>
      </c>
      <c r="AL16" s="51">
        <f t="shared" si="3"/>
        <v>0</v>
      </c>
      <c r="AM16" s="694" t="e">
        <f t="shared" si="10"/>
        <v>#DIV/0!</v>
      </c>
      <c r="AN16" s="49">
        <f>SUM(AN12:AN15)</f>
        <v>103765462</v>
      </c>
      <c r="AO16" s="54"/>
      <c r="AP16" s="27"/>
      <c r="AQ16" s="28"/>
      <c r="AR16" s="28"/>
      <c r="AS16" s="28"/>
      <c r="AT16" s="28"/>
    </row>
    <row r="17" spans="1:46" s="10" customFormat="1" ht="18" customHeight="1">
      <c r="B17" s="1112"/>
      <c r="C17" s="1112"/>
      <c r="D17" s="1033"/>
      <c r="E17" s="1033"/>
      <c r="F17" s="1116" t="s">
        <v>48</v>
      </c>
      <c r="G17" s="55" t="s">
        <v>49</v>
      </c>
      <c r="H17" s="56">
        <v>1500000</v>
      </c>
      <c r="I17" s="61">
        <f t="shared" si="4"/>
        <v>1.7682641915903408E-2</v>
      </c>
      <c r="J17" s="56">
        <v>1500000</v>
      </c>
      <c r="K17" s="61">
        <f t="shared" si="5"/>
        <v>2.0335502054072793E-2</v>
      </c>
      <c r="L17" s="58">
        <v>0</v>
      </c>
      <c r="M17" s="657">
        <f t="shared" si="6"/>
        <v>0</v>
      </c>
      <c r="N17" s="59">
        <f t="shared" si="0"/>
        <v>3000000</v>
      </c>
      <c r="O17" s="60">
        <f t="shared" ref="O17:O26" si="11">N17/N$27</f>
        <v>1.1527308672243611E-2</v>
      </c>
      <c r="P17" s="58">
        <v>0</v>
      </c>
      <c r="Q17" s="61" t="e">
        <f>P17/P$27</f>
        <v>#DIV/0!</v>
      </c>
      <c r="R17" s="58">
        <v>0</v>
      </c>
      <c r="S17" s="61" t="e">
        <f>R17/R$27</f>
        <v>#DIV/0!</v>
      </c>
      <c r="T17" s="58">
        <v>0</v>
      </c>
      <c r="U17" s="657" t="e">
        <f>T17/T$27</f>
        <v>#DIV/0!</v>
      </c>
      <c r="V17" s="59">
        <f t="shared" si="1"/>
        <v>0</v>
      </c>
      <c r="W17" s="34" t="e">
        <f t="shared" si="8"/>
        <v>#DIV/0!</v>
      </c>
      <c r="X17" s="58">
        <v>0</v>
      </c>
      <c r="Y17" s="61" t="e">
        <f>X17/X$27</f>
        <v>#DIV/0!</v>
      </c>
      <c r="Z17" s="58">
        <v>0</v>
      </c>
      <c r="AA17" s="61" t="e">
        <f>Z17/Z$27</f>
        <v>#DIV/0!</v>
      </c>
      <c r="AB17" s="58">
        <v>0</v>
      </c>
      <c r="AC17" s="657" t="e">
        <f>AB17/AB$27</f>
        <v>#DIV/0!</v>
      </c>
      <c r="AD17" s="59">
        <f t="shared" si="2"/>
        <v>0</v>
      </c>
      <c r="AE17" s="34" t="e">
        <f t="shared" si="9"/>
        <v>#DIV/0!</v>
      </c>
      <c r="AF17" s="58">
        <v>0</v>
      </c>
      <c r="AG17" s="61" t="e">
        <f>AF17/AF$27</f>
        <v>#DIV/0!</v>
      </c>
      <c r="AH17" s="58">
        <v>0</v>
      </c>
      <c r="AI17" s="61" t="e">
        <f>AH17/AH$27</f>
        <v>#DIV/0!</v>
      </c>
      <c r="AJ17" s="58">
        <v>0</v>
      </c>
      <c r="AK17" s="657" t="e">
        <f>AJ17/AJ$27</f>
        <v>#DIV/0!</v>
      </c>
      <c r="AL17" s="59">
        <f t="shared" si="3"/>
        <v>0</v>
      </c>
      <c r="AM17" s="34" t="e">
        <f t="shared" si="10"/>
        <v>#DIV/0!</v>
      </c>
      <c r="AN17" s="585">
        <f>SUM(N17+V17+AD17+AL17)</f>
        <v>3000000</v>
      </c>
      <c r="AO17" s="66"/>
      <c r="AP17" s="71"/>
      <c r="AQ17" s="71"/>
      <c r="AR17" s="411"/>
      <c r="AS17" s="28"/>
      <c r="AT17" s="28"/>
    </row>
    <row r="18" spans="1:46" s="10" customFormat="1" ht="18" customHeight="1">
      <c r="B18" s="1112"/>
      <c r="C18" s="1112"/>
      <c r="D18" s="1033"/>
      <c r="E18" s="1033"/>
      <c r="F18" s="1117"/>
      <c r="G18" s="55" t="s">
        <v>50</v>
      </c>
      <c r="H18" s="56">
        <v>880000</v>
      </c>
      <c r="I18" s="61">
        <f t="shared" si="4"/>
        <v>1.0373816590663332E-2</v>
      </c>
      <c r="J18" s="56">
        <v>880000</v>
      </c>
      <c r="K18" s="61">
        <f t="shared" si="5"/>
        <v>1.1930161205056038E-2</v>
      </c>
      <c r="L18" s="58">
        <v>0</v>
      </c>
      <c r="M18" s="657">
        <f t="shared" si="6"/>
        <v>0</v>
      </c>
      <c r="N18" s="59">
        <f t="shared" si="0"/>
        <v>1760000</v>
      </c>
      <c r="O18" s="60">
        <f t="shared" si="11"/>
        <v>6.7626877543829188E-3</v>
      </c>
      <c r="P18" s="58">
        <v>0</v>
      </c>
      <c r="Q18" s="61" t="e">
        <f>P18/P$27</f>
        <v>#DIV/0!</v>
      </c>
      <c r="R18" s="58">
        <v>0</v>
      </c>
      <c r="S18" s="61" t="e">
        <f>R18/R$27</f>
        <v>#DIV/0!</v>
      </c>
      <c r="T18" s="58">
        <v>0</v>
      </c>
      <c r="U18" s="657" t="e">
        <f>T18/T$27</f>
        <v>#DIV/0!</v>
      </c>
      <c r="V18" s="59">
        <f t="shared" si="1"/>
        <v>0</v>
      </c>
      <c r="W18" s="34" t="e">
        <f t="shared" si="8"/>
        <v>#DIV/0!</v>
      </c>
      <c r="X18" s="58">
        <v>0</v>
      </c>
      <c r="Y18" s="61" t="e">
        <f>X18/X$27</f>
        <v>#DIV/0!</v>
      </c>
      <c r="Z18" s="58">
        <v>0</v>
      </c>
      <c r="AA18" s="61" t="e">
        <f>Z18/Z$27</f>
        <v>#DIV/0!</v>
      </c>
      <c r="AB18" s="58">
        <v>0</v>
      </c>
      <c r="AC18" s="657" t="e">
        <f>AB18/AB$27</f>
        <v>#DIV/0!</v>
      </c>
      <c r="AD18" s="59">
        <f t="shared" si="2"/>
        <v>0</v>
      </c>
      <c r="AE18" s="34" t="e">
        <f t="shared" si="9"/>
        <v>#DIV/0!</v>
      </c>
      <c r="AF18" s="58">
        <v>0</v>
      </c>
      <c r="AG18" s="61" t="e">
        <f>AF18/AF$27</f>
        <v>#DIV/0!</v>
      </c>
      <c r="AH18" s="58">
        <v>0</v>
      </c>
      <c r="AI18" s="61" t="e">
        <f>AH18/AH$27</f>
        <v>#DIV/0!</v>
      </c>
      <c r="AJ18" s="58">
        <v>0</v>
      </c>
      <c r="AK18" s="657" t="e">
        <f>AJ18/AJ$27</f>
        <v>#DIV/0!</v>
      </c>
      <c r="AL18" s="59">
        <f t="shared" si="3"/>
        <v>0</v>
      </c>
      <c r="AM18" s="34" t="e">
        <f t="shared" si="10"/>
        <v>#DIV/0!</v>
      </c>
      <c r="AN18" s="585">
        <f>SUM(N18+V18+AD18+AL18)</f>
        <v>1760000</v>
      </c>
      <c r="AO18" s="66"/>
      <c r="AP18" s="71"/>
      <c r="AQ18" s="71"/>
      <c r="AR18" s="411"/>
      <c r="AS18" s="28"/>
      <c r="AT18" s="28"/>
    </row>
    <row r="19" spans="1:46" s="10" customFormat="1" ht="18" customHeight="1">
      <c r="B19" s="1112"/>
      <c r="C19" s="1112"/>
      <c r="D19" s="1033"/>
      <c r="E19" s="1033"/>
      <c r="F19" s="1117"/>
      <c r="G19" s="55" t="s">
        <v>51</v>
      </c>
      <c r="H19" s="56">
        <v>1745455</v>
      </c>
      <c r="I19" s="61">
        <f t="shared" si="4"/>
        <v>2.057617049688212E-2</v>
      </c>
      <c r="J19" s="56">
        <v>1745454.4</v>
      </c>
      <c r="K19" s="61">
        <f t="shared" si="5"/>
        <v>2.3663127690993595E-2</v>
      </c>
      <c r="L19" s="58">
        <v>0</v>
      </c>
      <c r="M19" s="657">
        <f t="shared" si="6"/>
        <v>0</v>
      </c>
      <c r="N19" s="59">
        <f t="shared" si="0"/>
        <v>3490909.4</v>
      </c>
      <c r="O19" s="60">
        <f t="shared" si="11"/>
        <v>1.341359673354558E-2</v>
      </c>
      <c r="P19" s="58">
        <v>0</v>
      </c>
      <c r="Q19" s="61" t="e">
        <f>P19/P$27</f>
        <v>#DIV/0!</v>
      </c>
      <c r="R19" s="58">
        <v>0</v>
      </c>
      <c r="S19" s="61" t="e">
        <f>R19/R$27</f>
        <v>#DIV/0!</v>
      </c>
      <c r="T19" s="58">
        <v>0</v>
      </c>
      <c r="U19" s="657" t="e">
        <f>T19/T$27</f>
        <v>#DIV/0!</v>
      </c>
      <c r="V19" s="59">
        <f t="shared" si="1"/>
        <v>0</v>
      </c>
      <c r="W19" s="34" t="e">
        <f t="shared" si="8"/>
        <v>#DIV/0!</v>
      </c>
      <c r="X19" s="58">
        <v>0</v>
      </c>
      <c r="Y19" s="61" t="e">
        <f>X19/X$27</f>
        <v>#DIV/0!</v>
      </c>
      <c r="Z19" s="58">
        <v>0</v>
      </c>
      <c r="AA19" s="61" t="e">
        <f>Z19/Z$27</f>
        <v>#DIV/0!</v>
      </c>
      <c r="AB19" s="58">
        <v>0</v>
      </c>
      <c r="AC19" s="657" t="e">
        <f>AB19/AB$27</f>
        <v>#DIV/0!</v>
      </c>
      <c r="AD19" s="59">
        <f t="shared" si="2"/>
        <v>0</v>
      </c>
      <c r="AE19" s="34" t="e">
        <f t="shared" si="9"/>
        <v>#DIV/0!</v>
      </c>
      <c r="AF19" s="58">
        <v>0</v>
      </c>
      <c r="AG19" s="61" t="e">
        <f>AF19/AF$27</f>
        <v>#DIV/0!</v>
      </c>
      <c r="AH19" s="58">
        <v>0</v>
      </c>
      <c r="AI19" s="61" t="e">
        <f>AH19/AH$27</f>
        <v>#DIV/0!</v>
      </c>
      <c r="AJ19" s="58">
        <v>0</v>
      </c>
      <c r="AK19" s="657" t="e">
        <f>AJ19/AJ$27</f>
        <v>#DIV/0!</v>
      </c>
      <c r="AL19" s="59">
        <f t="shared" si="3"/>
        <v>0</v>
      </c>
      <c r="AM19" s="34" t="e">
        <f t="shared" si="10"/>
        <v>#DIV/0!</v>
      </c>
      <c r="AN19" s="585">
        <f>SUM(N19+V19+AD19+AL19)</f>
        <v>3490909.4</v>
      </c>
      <c r="AO19" s="66"/>
      <c r="AP19" s="71"/>
      <c r="AQ19" s="71"/>
      <c r="AR19" s="411"/>
      <c r="AS19" s="28"/>
      <c r="AT19" s="28"/>
    </row>
    <row r="20" spans="1:46" s="10" customFormat="1" ht="18" customHeight="1">
      <c r="B20" s="1112"/>
      <c r="C20" s="1112"/>
      <c r="D20" s="1033"/>
      <c r="E20" s="1033"/>
      <c r="F20" s="1118"/>
      <c r="G20" s="435" t="s">
        <v>52</v>
      </c>
      <c r="H20" s="303">
        <f>SUM(H17:H19)</f>
        <v>4125455</v>
      </c>
      <c r="I20" s="297">
        <f t="shared" si="4"/>
        <v>4.8632629003448856E-2</v>
      </c>
      <c r="J20" s="303">
        <f>SUM(J17:J19)</f>
        <v>4125454.4</v>
      </c>
      <c r="K20" s="297">
        <f t="shared" si="5"/>
        <v>5.5928790950122424E-2</v>
      </c>
      <c r="L20" s="436">
        <f>SUM(L17:L19)</f>
        <v>0</v>
      </c>
      <c r="M20" s="658">
        <f t="shared" si="6"/>
        <v>0</v>
      </c>
      <c r="N20" s="437">
        <f t="shared" si="0"/>
        <v>8250909.4000000004</v>
      </c>
      <c r="O20" s="438">
        <f t="shared" si="11"/>
        <v>3.1703593160172114E-2</v>
      </c>
      <c r="P20" s="436">
        <f>SUM(P17:P19)</f>
        <v>0</v>
      </c>
      <c r="Q20" s="297" t="e">
        <f>P$20/P$27</f>
        <v>#DIV/0!</v>
      </c>
      <c r="R20" s="436">
        <f>SUM(R17:R19)</f>
        <v>0</v>
      </c>
      <c r="S20" s="297" t="e">
        <f>R$20/R$27</f>
        <v>#DIV/0!</v>
      </c>
      <c r="T20" s="436">
        <f>SUM(T17:T19)</f>
        <v>0</v>
      </c>
      <c r="U20" s="658" t="e">
        <f>T$20/T$27</f>
        <v>#DIV/0!</v>
      </c>
      <c r="V20" s="437">
        <f t="shared" si="1"/>
        <v>0</v>
      </c>
      <c r="W20" s="694"/>
      <c r="X20" s="436">
        <f>SUM(X17:X19)</f>
        <v>0</v>
      </c>
      <c r="Y20" s="297" t="e">
        <f>X$20/X$27</f>
        <v>#DIV/0!</v>
      </c>
      <c r="Z20" s="436">
        <f>SUM(Z17:Z19)</f>
        <v>0</v>
      </c>
      <c r="AA20" s="297" t="e">
        <f>Z$20/Z$27</f>
        <v>#DIV/0!</v>
      </c>
      <c r="AB20" s="436">
        <f>SUM(AB17:AB19)</f>
        <v>0</v>
      </c>
      <c r="AC20" s="658" t="e">
        <f>AB$20/AB$27</f>
        <v>#DIV/0!</v>
      </c>
      <c r="AD20" s="437">
        <f t="shared" si="2"/>
        <v>0</v>
      </c>
      <c r="AE20" s="694"/>
      <c r="AF20" s="436">
        <f>SUM(AF17:AF19)</f>
        <v>0</v>
      </c>
      <c r="AG20" s="297" t="e">
        <f>AF$20/AF$27</f>
        <v>#DIV/0!</v>
      </c>
      <c r="AH20" s="436">
        <f>SUM(AH17:AH19)</f>
        <v>0</v>
      </c>
      <c r="AI20" s="297" t="e">
        <f>AH$20/AH$27</f>
        <v>#DIV/0!</v>
      </c>
      <c r="AJ20" s="436">
        <f>SUM(AJ17:AJ19)</f>
        <v>0</v>
      </c>
      <c r="AK20" s="658" t="e">
        <f>AJ$20/AJ$27</f>
        <v>#DIV/0!</v>
      </c>
      <c r="AL20" s="437">
        <f t="shared" si="3"/>
        <v>0</v>
      </c>
      <c r="AM20" s="694"/>
      <c r="AN20" s="295">
        <f>SUM(AN17:AN19)</f>
        <v>8250909.4000000004</v>
      </c>
      <c r="AO20" s="439"/>
      <c r="AP20" s="71"/>
      <c r="AQ20" s="71"/>
      <c r="AR20" s="411"/>
      <c r="AS20" s="28"/>
      <c r="AT20" s="28"/>
    </row>
    <row r="21" spans="1:46" s="10" customFormat="1" ht="18" customHeight="1">
      <c r="B21" s="1112"/>
      <c r="C21" s="1112"/>
      <c r="D21" s="1033"/>
      <c r="E21" s="1033"/>
      <c r="F21" s="1116" t="s">
        <v>476</v>
      </c>
      <c r="G21" s="55" t="s">
        <v>41</v>
      </c>
      <c r="H21" s="56">
        <v>11884151</v>
      </c>
      <c r="I21" s="61">
        <f t="shared" si="4"/>
        <v>0.14009545773835025</v>
      </c>
      <c r="J21" s="56">
        <v>10213913</v>
      </c>
      <c r="K21" s="61">
        <f t="shared" si="5"/>
        <v>0.1384700325277472</v>
      </c>
      <c r="L21" s="58">
        <v>11649696</v>
      </c>
      <c r="M21" s="657">
        <f t="shared" si="6"/>
        <v>0.11459471410267975</v>
      </c>
      <c r="N21" s="59">
        <f t="shared" si="0"/>
        <v>33747760</v>
      </c>
      <c r="O21" s="60">
        <f t="shared" si="11"/>
        <v>0.12967361550559869</v>
      </c>
      <c r="P21" s="58"/>
      <c r="Q21" s="61" t="e">
        <f>P21/P$27</f>
        <v>#DIV/0!</v>
      </c>
      <c r="R21" s="58"/>
      <c r="S21" s="61" t="e">
        <f>R21/R$27</f>
        <v>#DIV/0!</v>
      </c>
      <c r="T21" s="58"/>
      <c r="U21" s="657" t="e">
        <f>T21/T$27</f>
        <v>#DIV/0!</v>
      </c>
      <c r="V21" s="59">
        <f t="shared" si="1"/>
        <v>0</v>
      </c>
      <c r="W21" s="60" t="e">
        <f>V21/V$27</f>
        <v>#DIV/0!</v>
      </c>
      <c r="X21" s="58"/>
      <c r="Y21" s="61" t="e">
        <f>X21/X$27</f>
        <v>#DIV/0!</v>
      </c>
      <c r="Z21" s="58"/>
      <c r="AA21" s="61" t="e">
        <f>Z21/Z$27</f>
        <v>#DIV/0!</v>
      </c>
      <c r="AB21" s="58"/>
      <c r="AC21" s="657" t="e">
        <f>AB21/AB$27</f>
        <v>#DIV/0!</v>
      </c>
      <c r="AD21" s="59">
        <f t="shared" si="2"/>
        <v>0</v>
      </c>
      <c r="AE21" s="60" t="e">
        <f>AD21/AD$27</f>
        <v>#DIV/0!</v>
      </c>
      <c r="AF21" s="58"/>
      <c r="AG21" s="61" t="e">
        <f>AF21/AF$27</f>
        <v>#DIV/0!</v>
      </c>
      <c r="AH21" s="58"/>
      <c r="AI21" s="61" t="e">
        <f>AH21/AH$27</f>
        <v>#DIV/0!</v>
      </c>
      <c r="AJ21" s="58"/>
      <c r="AK21" s="657" t="e">
        <f>AJ21/AJ$27</f>
        <v>#DIV/0!</v>
      </c>
      <c r="AL21" s="59">
        <f t="shared" si="3"/>
        <v>0</v>
      </c>
      <c r="AM21" s="60" t="e">
        <f>AL21/AL$27</f>
        <v>#DIV/0!</v>
      </c>
      <c r="AN21" s="585">
        <f>SUM(N21+V21+AD21+AL21)</f>
        <v>33747760</v>
      </c>
      <c r="AO21" s="66"/>
      <c r="AP21" s="71"/>
      <c r="AQ21" s="71"/>
      <c r="AR21" s="411"/>
      <c r="AS21" s="28"/>
      <c r="AT21" s="28"/>
    </row>
    <row r="22" spans="1:46" s="440" customFormat="1" ht="18" customHeight="1">
      <c r="A22" s="10"/>
      <c r="B22" s="1112"/>
      <c r="C22" s="1112"/>
      <c r="D22" s="1033"/>
      <c r="E22" s="1033"/>
      <c r="F22" s="1118"/>
      <c r="G22" s="435" t="s">
        <v>477</v>
      </c>
      <c r="H22" s="303">
        <f>SUM(H21)</f>
        <v>11884151</v>
      </c>
      <c r="I22" s="297">
        <f t="shared" si="4"/>
        <v>0.14009545773835025</v>
      </c>
      <c r="J22" s="303">
        <f>SUM(J21)</f>
        <v>10213913</v>
      </c>
      <c r="K22" s="297">
        <f t="shared" si="5"/>
        <v>0.1384700325277472</v>
      </c>
      <c r="L22" s="436">
        <f>SUM(L21)</f>
        <v>11649696</v>
      </c>
      <c r="M22" s="658">
        <f t="shared" si="6"/>
        <v>0.11459471410267975</v>
      </c>
      <c r="N22" s="437">
        <f t="shared" si="0"/>
        <v>33747760</v>
      </c>
      <c r="O22" s="438">
        <f t="shared" si="11"/>
        <v>0.12967361550559869</v>
      </c>
      <c r="P22" s="436">
        <f>SUM(P21)</f>
        <v>0</v>
      </c>
      <c r="Q22" s="297" t="e">
        <f>P$20/P$27</f>
        <v>#DIV/0!</v>
      </c>
      <c r="R22" s="436">
        <f>SUM(R21)</f>
        <v>0</v>
      </c>
      <c r="S22" s="297" t="e">
        <f>R$20/R$27</f>
        <v>#DIV/0!</v>
      </c>
      <c r="T22" s="436">
        <f>SUM(T21)</f>
        <v>0</v>
      </c>
      <c r="U22" s="658" t="e">
        <f>T$20/T$27</f>
        <v>#DIV/0!</v>
      </c>
      <c r="V22" s="437">
        <f t="shared" si="1"/>
        <v>0</v>
      </c>
      <c r="W22" s="694"/>
      <c r="X22" s="436">
        <f>SUM(X21)</f>
        <v>0</v>
      </c>
      <c r="Y22" s="297" t="e">
        <f>X$20/X$27</f>
        <v>#DIV/0!</v>
      </c>
      <c r="Z22" s="436">
        <f>SUM(Z21)</f>
        <v>0</v>
      </c>
      <c r="AA22" s="297" t="e">
        <f>Z$20/Z$27</f>
        <v>#DIV/0!</v>
      </c>
      <c r="AB22" s="436">
        <f>SUM(AB21)</f>
        <v>0</v>
      </c>
      <c r="AC22" s="658" t="e">
        <f>AB$20/AB$27</f>
        <v>#DIV/0!</v>
      </c>
      <c r="AD22" s="437">
        <f t="shared" si="2"/>
        <v>0</v>
      </c>
      <c r="AE22" s="694"/>
      <c r="AF22" s="436">
        <f>SUM(AF21)</f>
        <v>0</v>
      </c>
      <c r="AG22" s="297" t="e">
        <f>AF$20/AF$27</f>
        <v>#DIV/0!</v>
      </c>
      <c r="AH22" s="436">
        <f>SUM(AH21)</f>
        <v>0</v>
      </c>
      <c r="AI22" s="297" t="e">
        <f>AH$20/AH$27</f>
        <v>#DIV/0!</v>
      </c>
      <c r="AJ22" s="436">
        <f>SUM(AJ21)</f>
        <v>0</v>
      </c>
      <c r="AK22" s="658" t="e">
        <f>AJ$20/AJ$27</f>
        <v>#DIV/0!</v>
      </c>
      <c r="AL22" s="437">
        <f t="shared" si="3"/>
        <v>0</v>
      </c>
      <c r="AM22" s="694"/>
      <c r="AN22" s="295">
        <f>SUM(AN21)</f>
        <v>33747760</v>
      </c>
      <c r="AO22" s="439"/>
      <c r="AP22" s="441"/>
      <c r="AQ22" s="441"/>
      <c r="AR22" s="442"/>
      <c r="AS22" s="443"/>
      <c r="AT22" s="443"/>
    </row>
    <row r="23" spans="1:46" s="10" customFormat="1" ht="18" customHeight="1">
      <c r="B23" s="1112"/>
      <c r="C23" s="1112"/>
      <c r="D23" s="1033"/>
      <c r="E23" s="1033"/>
      <c r="F23" s="1116" t="s">
        <v>480</v>
      </c>
      <c r="G23" s="55" t="s">
        <v>482</v>
      </c>
      <c r="H23" s="56">
        <v>0</v>
      </c>
      <c r="I23" s="61">
        <f t="shared" si="4"/>
        <v>0</v>
      </c>
      <c r="J23" s="56">
        <v>490909</v>
      </c>
      <c r="K23" s="61">
        <f t="shared" si="5"/>
        <v>6.6552539852418801E-3</v>
      </c>
      <c r="L23" s="58">
        <f>4818182+490909</f>
        <v>5309091</v>
      </c>
      <c r="M23" s="657">
        <f t="shared" si="6"/>
        <v>5.2224003552548512E-2</v>
      </c>
      <c r="N23" s="59">
        <f t="shared" si="0"/>
        <v>5800000</v>
      </c>
      <c r="O23" s="60">
        <f t="shared" si="11"/>
        <v>2.2286130099670981E-2</v>
      </c>
      <c r="P23" s="58"/>
      <c r="Q23" s="61" t="e">
        <f>P23/P$27</f>
        <v>#DIV/0!</v>
      </c>
      <c r="R23" s="58"/>
      <c r="S23" s="61" t="e">
        <f>R23/R$27</f>
        <v>#DIV/0!</v>
      </c>
      <c r="T23" s="58"/>
      <c r="U23" s="657" t="e">
        <f>T23/T$27</f>
        <v>#DIV/0!</v>
      </c>
      <c r="V23" s="59">
        <f t="shared" si="1"/>
        <v>0</v>
      </c>
      <c r="W23" s="60" t="e">
        <f>V23/V$27</f>
        <v>#DIV/0!</v>
      </c>
      <c r="X23" s="58"/>
      <c r="Y23" s="61" t="e">
        <f>X23/X$27</f>
        <v>#DIV/0!</v>
      </c>
      <c r="Z23" s="58"/>
      <c r="AA23" s="61" t="e">
        <f>Z23/Z$27</f>
        <v>#DIV/0!</v>
      </c>
      <c r="AB23" s="58"/>
      <c r="AC23" s="657" t="e">
        <f>AB23/AB$27</f>
        <v>#DIV/0!</v>
      </c>
      <c r="AD23" s="59">
        <f t="shared" si="2"/>
        <v>0</v>
      </c>
      <c r="AE23" s="60" t="e">
        <f>AD23/AD$27</f>
        <v>#DIV/0!</v>
      </c>
      <c r="AF23" s="58"/>
      <c r="AG23" s="61" t="e">
        <f>AF23/AF$27</f>
        <v>#DIV/0!</v>
      </c>
      <c r="AH23" s="58"/>
      <c r="AI23" s="61" t="e">
        <f>AH23/AH$27</f>
        <v>#DIV/0!</v>
      </c>
      <c r="AJ23" s="58"/>
      <c r="AK23" s="657" t="e">
        <f>AJ23/AJ$27</f>
        <v>#DIV/0!</v>
      </c>
      <c r="AL23" s="59">
        <f t="shared" si="3"/>
        <v>0</v>
      </c>
      <c r="AM23" s="60" t="e">
        <f>AL23/AL$27</f>
        <v>#DIV/0!</v>
      </c>
      <c r="AN23" s="585">
        <f>SUM(N23+V23+AD23+AL23)</f>
        <v>5800000</v>
      </c>
      <c r="AO23" s="66"/>
      <c r="AP23" s="71"/>
      <c r="AQ23" s="71"/>
      <c r="AR23" s="411"/>
      <c r="AS23" s="28"/>
      <c r="AT23" s="28"/>
    </row>
    <row r="24" spans="1:46" s="10" customFormat="1" ht="18" customHeight="1">
      <c r="B24" s="1112"/>
      <c r="C24" s="1112"/>
      <c r="D24" s="1033"/>
      <c r="E24" s="1033"/>
      <c r="F24" s="1118"/>
      <c r="G24" s="435" t="s">
        <v>481</v>
      </c>
      <c r="H24" s="303">
        <f>SUM(H23)</f>
        <v>0</v>
      </c>
      <c r="I24" s="297">
        <f t="shared" si="4"/>
        <v>0</v>
      </c>
      <c r="J24" s="303">
        <f>SUM(J23)</f>
        <v>490909</v>
      </c>
      <c r="K24" s="297">
        <f t="shared" si="5"/>
        <v>6.6552539852418801E-3</v>
      </c>
      <c r="L24" s="436">
        <f>SUM(L23)</f>
        <v>5309091</v>
      </c>
      <c r="M24" s="658">
        <f t="shared" si="6"/>
        <v>5.2224003552548512E-2</v>
      </c>
      <c r="N24" s="437">
        <f t="shared" si="0"/>
        <v>5800000</v>
      </c>
      <c r="O24" s="438">
        <f t="shared" si="11"/>
        <v>2.2286130099670981E-2</v>
      </c>
      <c r="P24" s="436">
        <f>SUM(P23)</f>
        <v>0</v>
      </c>
      <c r="Q24" s="297" t="e">
        <f>P$20/P$27</f>
        <v>#DIV/0!</v>
      </c>
      <c r="R24" s="436">
        <f>SUM(R23)</f>
        <v>0</v>
      </c>
      <c r="S24" s="297" t="e">
        <f>R$20/R$27</f>
        <v>#DIV/0!</v>
      </c>
      <c r="T24" s="436">
        <f>SUM(T23)</f>
        <v>0</v>
      </c>
      <c r="U24" s="658" t="e">
        <f>T$20/T$27</f>
        <v>#DIV/0!</v>
      </c>
      <c r="V24" s="437">
        <f t="shared" si="1"/>
        <v>0</v>
      </c>
      <c r="W24" s="694"/>
      <c r="X24" s="436">
        <f>SUM(X23)</f>
        <v>0</v>
      </c>
      <c r="Y24" s="297" t="e">
        <f>X$20/X$27</f>
        <v>#DIV/0!</v>
      </c>
      <c r="Z24" s="436">
        <f>SUM(Z23)</f>
        <v>0</v>
      </c>
      <c r="AA24" s="297" t="e">
        <f>Z$20/Z$27</f>
        <v>#DIV/0!</v>
      </c>
      <c r="AB24" s="436">
        <f>SUM(AB23)</f>
        <v>0</v>
      </c>
      <c r="AC24" s="658" t="e">
        <f>AB$20/AB$27</f>
        <v>#DIV/0!</v>
      </c>
      <c r="AD24" s="437">
        <f t="shared" si="2"/>
        <v>0</v>
      </c>
      <c r="AE24" s="694"/>
      <c r="AF24" s="436">
        <f>SUM(AF23)</f>
        <v>0</v>
      </c>
      <c r="AG24" s="297" t="e">
        <f>AF$20/AF$27</f>
        <v>#DIV/0!</v>
      </c>
      <c r="AH24" s="436">
        <f>SUM(AH23)</f>
        <v>0</v>
      </c>
      <c r="AI24" s="297" t="e">
        <f>AH$20/AH$27</f>
        <v>#DIV/0!</v>
      </c>
      <c r="AJ24" s="436">
        <f>SUM(AJ23)</f>
        <v>0</v>
      </c>
      <c r="AK24" s="658" t="e">
        <f>AJ$20/AJ$27</f>
        <v>#DIV/0!</v>
      </c>
      <c r="AL24" s="437">
        <f t="shared" si="3"/>
        <v>0</v>
      </c>
      <c r="AM24" s="694"/>
      <c r="AN24" s="295">
        <f>SUM(AN23)</f>
        <v>5800000</v>
      </c>
      <c r="AO24" s="439"/>
      <c r="AP24" s="71"/>
      <c r="AQ24" s="71"/>
      <c r="AR24" s="411"/>
      <c r="AS24" s="28"/>
      <c r="AT24" s="28"/>
    </row>
    <row r="25" spans="1:46" s="10" customFormat="1" ht="18" customHeight="1">
      <c r="B25" s="1112"/>
      <c r="C25" s="1112"/>
      <c r="D25" s="1033"/>
      <c r="E25" s="1033"/>
      <c r="F25" s="1117" t="s">
        <v>478</v>
      </c>
      <c r="G25" s="55" t="s">
        <v>482</v>
      </c>
      <c r="H25" s="56">
        <v>0</v>
      </c>
      <c r="I25" s="61">
        <f t="shared" si="4"/>
        <v>0</v>
      </c>
      <c r="J25" s="56">
        <v>0</v>
      </c>
      <c r="K25" s="61">
        <f t="shared" si="5"/>
        <v>0</v>
      </c>
      <c r="L25" s="58">
        <v>17793409</v>
      </c>
      <c r="M25" s="657">
        <f t="shared" si="6"/>
        <v>0.17502865459039008</v>
      </c>
      <c r="N25" s="59">
        <f t="shared" si="0"/>
        <v>17793409</v>
      </c>
      <c r="O25" s="60">
        <f t="shared" si="11"/>
        <v>6.8370039291492504E-2</v>
      </c>
      <c r="P25" s="58"/>
      <c r="Q25" s="61" t="e">
        <f>P25/P$27</f>
        <v>#DIV/0!</v>
      </c>
      <c r="R25" s="58"/>
      <c r="S25" s="61" t="e">
        <f>R25/R$27</f>
        <v>#DIV/0!</v>
      </c>
      <c r="T25" s="58"/>
      <c r="U25" s="657" t="e">
        <f>T25/T$27</f>
        <v>#DIV/0!</v>
      </c>
      <c r="V25" s="59">
        <f t="shared" si="1"/>
        <v>0</v>
      </c>
      <c r="W25" s="60" t="e">
        <f>V25/V$27</f>
        <v>#DIV/0!</v>
      </c>
      <c r="X25" s="58"/>
      <c r="Y25" s="61" t="e">
        <f>X25/X$27</f>
        <v>#DIV/0!</v>
      </c>
      <c r="Z25" s="58"/>
      <c r="AA25" s="61" t="e">
        <f>Z25/Z$27</f>
        <v>#DIV/0!</v>
      </c>
      <c r="AB25" s="58"/>
      <c r="AC25" s="657" t="e">
        <f>AB25/AB$27</f>
        <v>#DIV/0!</v>
      </c>
      <c r="AD25" s="59">
        <f t="shared" si="2"/>
        <v>0</v>
      </c>
      <c r="AE25" s="60" t="e">
        <f>AD25/AD$27</f>
        <v>#DIV/0!</v>
      </c>
      <c r="AF25" s="58"/>
      <c r="AG25" s="61" t="e">
        <f>AF25/AF$27</f>
        <v>#DIV/0!</v>
      </c>
      <c r="AH25" s="58"/>
      <c r="AI25" s="61" t="e">
        <f>AH25/AH$27</f>
        <v>#DIV/0!</v>
      </c>
      <c r="AJ25" s="58"/>
      <c r="AK25" s="657" t="e">
        <f>AJ25/AJ$27</f>
        <v>#DIV/0!</v>
      </c>
      <c r="AL25" s="59">
        <f t="shared" si="3"/>
        <v>0</v>
      </c>
      <c r="AM25" s="60" t="e">
        <f>AL25/AL$27</f>
        <v>#DIV/0!</v>
      </c>
      <c r="AN25" s="585">
        <f>SUM(N25+V25+AD25+AL25)</f>
        <v>17793409</v>
      </c>
      <c r="AO25" s="66"/>
      <c r="AP25" s="71"/>
      <c r="AQ25" s="71"/>
      <c r="AR25" s="411"/>
      <c r="AS25" s="28"/>
      <c r="AT25" s="28"/>
    </row>
    <row r="26" spans="1:46" s="440" customFormat="1" ht="18" customHeight="1" thickBot="1">
      <c r="A26" s="10"/>
      <c r="B26" s="1104"/>
      <c r="C26" s="1104"/>
      <c r="D26" s="1110"/>
      <c r="E26" s="1110"/>
      <c r="F26" s="1118"/>
      <c r="G26" s="435" t="s">
        <v>479</v>
      </c>
      <c r="H26" s="303">
        <f>SUM(H25)</f>
        <v>0</v>
      </c>
      <c r="I26" s="297">
        <f t="shared" si="4"/>
        <v>0</v>
      </c>
      <c r="J26" s="303">
        <f>SUM(J25)</f>
        <v>0</v>
      </c>
      <c r="K26" s="297">
        <f t="shared" si="5"/>
        <v>0</v>
      </c>
      <c r="L26" s="436">
        <f>SUM(L25)</f>
        <v>17793409</v>
      </c>
      <c r="M26" s="658">
        <f t="shared" si="6"/>
        <v>0.17502865459039008</v>
      </c>
      <c r="N26" s="437">
        <f t="shared" si="0"/>
        <v>17793409</v>
      </c>
      <c r="O26" s="438">
        <f t="shared" si="11"/>
        <v>6.8370039291492504E-2</v>
      </c>
      <c r="P26" s="436">
        <f>SUM(P25)</f>
        <v>0</v>
      </c>
      <c r="Q26" s="297" t="e">
        <f>P$20/P$27</f>
        <v>#DIV/0!</v>
      </c>
      <c r="R26" s="436">
        <f>SUM(R25)</f>
        <v>0</v>
      </c>
      <c r="S26" s="297" t="e">
        <f>R$20/R$27</f>
        <v>#DIV/0!</v>
      </c>
      <c r="T26" s="436">
        <f>SUM(T25)</f>
        <v>0</v>
      </c>
      <c r="U26" s="658" t="e">
        <f>T$20/T$27</f>
        <v>#DIV/0!</v>
      </c>
      <c r="V26" s="437">
        <f t="shared" si="1"/>
        <v>0</v>
      </c>
      <c r="W26" s="694"/>
      <c r="X26" s="436">
        <f>SUM(X25)</f>
        <v>0</v>
      </c>
      <c r="Y26" s="297" t="e">
        <f>X$20/X$27</f>
        <v>#DIV/0!</v>
      </c>
      <c r="Z26" s="436">
        <f>SUM(Z25)</f>
        <v>0</v>
      </c>
      <c r="AA26" s="297" t="e">
        <f>Z$20/Z$27</f>
        <v>#DIV/0!</v>
      </c>
      <c r="AB26" s="436">
        <f>SUM(AB25)</f>
        <v>0</v>
      </c>
      <c r="AC26" s="658" t="e">
        <f>AB$20/AB$27</f>
        <v>#DIV/0!</v>
      </c>
      <c r="AD26" s="437">
        <f t="shared" si="2"/>
        <v>0</v>
      </c>
      <c r="AE26" s="694"/>
      <c r="AF26" s="436">
        <f>SUM(AF25)</f>
        <v>0</v>
      </c>
      <c r="AG26" s="297" t="e">
        <f>AF$20/AF$27</f>
        <v>#DIV/0!</v>
      </c>
      <c r="AH26" s="436">
        <f>SUM(AH25)</f>
        <v>0</v>
      </c>
      <c r="AI26" s="297" t="e">
        <f>AH$20/AH$27</f>
        <v>#DIV/0!</v>
      </c>
      <c r="AJ26" s="436">
        <f>SUM(AJ25)</f>
        <v>0</v>
      </c>
      <c r="AK26" s="658" t="e">
        <f>AJ$20/AJ$27</f>
        <v>#DIV/0!</v>
      </c>
      <c r="AL26" s="437">
        <f t="shared" si="3"/>
        <v>0</v>
      </c>
      <c r="AM26" s="694"/>
      <c r="AN26" s="295">
        <f>SUM(AN25)</f>
        <v>17793409</v>
      </c>
      <c r="AO26" s="439"/>
      <c r="AP26" s="441"/>
      <c r="AQ26" s="441"/>
      <c r="AR26" s="442"/>
      <c r="AS26" s="443"/>
      <c r="AT26" s="443"/>
    </row>
    <row r="27" spans="1:46" s="10" customFormat="1" ht="21.75" customHeight="1" thickBot="1">
      <c r="B27" s="1124" t="s">
        <v>53</v>
      </c>
      <c r="C27" s="1125"/>
      <c r="D27" s="1125"/>
      <c r="E27" s="1125"/>
      <c r="F27" s="1125"/>
      <c r="G27" s="1126"/>
      <c r="H27" s="72">
        <f>H16+H11+H20+H22+H24+H26</f>
        <v>84828953</v>
      </c>
      <c r="I27" s="76">
        <f t="shared" ref="I27:AN27" si="12">I16+I11+I20+I22+I24+I26</f>
        <v>1</v>
      </c>
      <c r="J27" s="72">
        <f>J16+J11+J20+J22+J24+J26</f>
        <v>73762624.400000006</v>
      </c>
      <c r="K27" s="76">
        <f t="shared" si="12"/>
        <v>0.99999999999999989</v>
      </c>
      <c r="L27" s="73">
        <f t="shared" si="12"/>
        <v>101659977</v>
      </c>
      <c r="M27" s="660">
        <f t="shared" si="12"/>
        <v>1</v>
      </c>
      <c r="N27" s="74">
        <f t="shared" si="0"/>
        <v>260251554.40000001</v>
      </c>
      <c r="O27" s="75">
        <f t="shared" si="12"/>
        <v>0.99999999999999989</v>
      </c>
      <c r="P27" s="73">
        <f t="shared" si="12"/>
        <v>0</v>
      </c>
      <c r="Q27" s="76" t="e">
        <f t="shared" si="12"/>
        <v>#DIV/0!</v>
      </c>
      <c r="R27" s="73">
        <f t="shared" si="12"/>
        <v>0</v>
      </c>
      <c r="S27" s="76" t="e">
        <f t="shared" si="12"/>
        <v>#DIV/0!</v>
      </c>
      <c r="T27" s="73">
        <f t="shared" si="12"/>
        <v>0</v>
      </c>
      <c r="U27" s="660" t="e">
        <f t="shared" si="12"/>
        <v>#DIV/0!</v>
      </c>
      <c r="V27" s="74">
        <f t="shared" si="1"/>
        <v>0</v>
      </c>
      <c r="W27" s="695" t="e">
        <f t="shared" si="12"/>
        <v>#DIV/0!</v>
      </c>
      <c r="X27" s="73">
        <f t="shared" si="12"/>
        <v>0</v>
      </c>
      <c r="Y27" s="76" t="e">
        <f t="shared" si="12"/>
        <v>#DIV/0!</v>
      </c>
      <c r="Z27" s="73">
        <f t="shared" si="12"/>
        <v>0</v>
      </c>
      <c r="AA27" s="76" t="e">
        <f t="shared" si="12"/>
        <v>#DIV/0!</v>
      </c>
      <c r="AB27" s="73">
        <f t="shared" si="12"/>
        <v>0</v>
      </c>
      <c r="AC27" s="660" t="e">
        <f t="shared" si="12"/>
        <v>#DIV/0!</v>
      </c>
      <c r="AD27" s="74">
        <f t="shared" si="2"/>
        <v>0</v>
      </c>
      <c r="AE27" s="699" t="e">
        <f t="shared" si="12"/>
        <v>#DIV/0!</v>
      </c>
      <c r="AF27" s="73">
        <f t="shared" si="12"/>
        <v>0</v>
      </c>
      <c r="AG27" s="76" t="e">
        <f t="shared" si="12"/>
        <v>#DIV/0!</v>
      </c>
      <c r="AH27" s="73">
        <f t="shared" si="12"/>
        <v>0</v>
      </c>
      <c r="AI27" s="76" t="e">
        <f t="shared" si="12"/>
        <v>#DIV/0!</v>
      </c>
      <c r="AJ27" s="73">
        <f t="shared" si="12"/>
        <v>0</v>
      </c>
      <c r="AK27" s="660" t="e">
        <f t="shared" si="12"/>
        <v>#DIV/0!</v>
      </c>
      <c r="AL27" s="74">
        <f t="shared" si="3"/>
        <v>0</v>
      </c>
      <c r="AM27" s="699" t="e">
        <f t="shared" si="12"/>
        <v>#DIV/0!</v>
      </c>
      <c r="AN27" s="74">
        <f t="shared" si="12"/>
        <v>260251554.40000001</v>
      </c>
      <c r="AO27" s="77"/>
      <c r="AP27" s="71"/>
      <c r="AQ27" s="71"/>
      <c r="AR27" s="411"/>
      <c r="AS27" s="28"/>
    </row>
    <row r="28" spans="1:46" s="10" customFormat="1" ht="18" customHeight="1">
      <c r="B28" s="86"/>
      <c r="C28" s="781" t="s">
        <v>59</v>
      </c>
      <c r="D28" s="778" t="s">
        <v>60</v>
      </c>
      <c r="E28" s="87" t="s">
        <v>61</v>
      </c>
      <c r="F28" s="87" t="s">
        <v>62</v>
      </c>
      <c r="G28" s="88" t="s">
        <v>63</v>
      </c>
      <c r="H28" s="95">
        <v>4166660</v>
      </c>
      <c r="I28" s="405"/>
      <c r="J28" s="95">
        <v>4166660</v>
      </c>
      <c r="K28" s="405"/>
      <c r="L28" s="95">
        <v>4166660</v>
      </c>
      <c r="M28" s="662"/>
      <c r="N28" s="406">
        <f t="shared" si="0"/>
        <v>12499980</v>
      </c>
      <c r="O28" s="407"/>
      <c r="P28" s="95"/>
      <c r="Q28" s="405"/>
      <c r="R28" s="95"/>
      <c r="S28" s="405"/>
      <c r="T28" s="95"/>
      <c r="U28" s="662"/>
      <c r="V28" s="406">
        <f t="shared" si="1"/>
        <v>0</v>
      </c>
      <c r="W28" s="407"/>
      <c r="X28" s="95"/>
      <c r="Y28" s="405"/>
      <c r="Z28" s="95"/>
      <c r="AA28" s="405"/>
      <c r="AB28" s="95"/>
      <c r="AC28" s="662"/>
      <c r="AD28" s="406">
        <f t="shared" si="2"/>
        <v>0</v>
      </c>
      <c r="AE28" s="407"/>
      <c r="AF28" s="95"/>
      <c r="AG28" s="405"/>
      <c r="AH28" s="95"/>
      <c r="AI28" s="405"/>
      <c r="AJ28" s="95"/>
      <c r="AK28" s="662"/>
      <c r="AL28" s="702">
        <f t="shared" si="3"/>
        <v>0</v>
      </c>
      <c r="AM28" s="407"/>
      <c r="AN28" s="589">
        <f t="shared" ref="AN28:AN44" si="13">SUM(AD28,V28,N28,AL28)</f>
        <v>12499980</v>
      </c>
      <c r="AO28" s="40"/>
      <c r="AP28" s="27"/>
      <c r="AQ28" s="28"/>
      <c r="AR28" s="28"/>
      <c r="AS28" s="28"/>
    </row>
    <row r="29" spans="1:46" s="10" customFormat="1" ht="18" customHeight="1">
      <c r="B29" s="86"/>
      <c r="C29" s="782"/>
      <c r="D29" s="779"/>
      <c r="E29" s="87" t="s">
        <v>61</v>
      </c>
      <c r="F29" s="87" t="s">
        <v>66</v>
      </c>
      <c r="G29" s="88" t="s">
        <v>67</v>
      </c>
      <c r="H29" s="134">
        <v>5000000</v>
      </c>
      <c r="I29" s="405"/>
      <c r="J29" s="134">
        <v>5000000</v>
      </c>
      <c r="K29" s="405"/>
      <c r="L29" s="134">
        <v>5198090</v>
      </c>
      <c r="M29" s="662"/>
      <c r="N29" s="406">
        <f>SUM(H29,J29,L29)</f>
        <v>15198090</v>
      </c>
      <c r="O29" s="407"/>
      <c r="P29" s="134"/>
      <c r="Q29" s="405"/>
      <c r="R29" s="134"/>
      <c r="S29" s="405"/>
      <c r="T29" s="134"/>
      <c r="U29" s="662"/>
      <c r="V29" s="406">
        <f>SUM(P29,R29,T29)</f>
        <v>0</v>
      </c>
      <c r="W29" s="407"/>
      <c r="X29" s="134"/>
      <c r="Y29" s="405"/>
      <c r="Z29" s="134"/>
      <c r="AA29" s="405"/>
      <c r="AB29" s="134"/>
      <c r="AC29" s="662"/>
      <c r="AD29" s="406">
        <f>SUM(X29,Z29,AB29)</f>
        <v>0</v>
      </c>
      <c r="AE29" s="407"/>
      <c r="AF29" s="134"/>
      <c r="AG29" s="405"/>
      <c r="AH29" s="134"/>
      <c r="AI29" s="405"/>
      <c r="AJ29" s="134"/>
      <c r="AK29" s="662"/>
      <c r="AL29" s="702">
        <f>SUM(AF29,AH29,AJ29)</f>
        <v>0</v>
      </c>
      <c r="AM29" s="407"/>
      <c r="AN29" s="589">
        <f t="shared" si="13"/>
        <v>15198090</v>
      </c>
      <c r="AO29" s="40"/>
      <c r="AP29" s="28"/>
      <c r="AQ29" s="28"/>
      <c r="AR29" s="28"/>
      <c r="AS29" s="28"/>
    </row>
    <row r="30" spans="1:46" s="10" customFormat="1" ht="18" customHeight="1">
      <c r="B30" s="86"/>
      <c r="C30" s="782"/>
      <c r="D30" s="779"/>
      <c r="E30" s="87" t="s">
        <v>61</v>
      </c>
      <c r="F30" s="87" t="s">
        <v>512</v>
      </c>
      <c r="G30" s="88" t="s">
        <v>73</v>
      </c>
      <c r="H30" s="95">
        <v>3416660</v>
      </c>
      <c r="I30" s="405"/>
      <c r="J30" s="95">
        <v>3416660</v>
      </c>
      <c r="K30" s="405"/>
      <c r="L30" s="95">
        <v>3536740</v>
      </c>
      <c r="M30" s="662"/>
      <c r="N30" s="406">
        <f>SUM(H30,J30,L30)</f>
        <v>10370060</v>
      </c>
      <c r="O30" s="407"/>
      <c r="P30" s="95"/>
      <c r="Q30" s="405"/>
      <c r="R30" s="95"/>
      <c r="S30" s="405"/>
      <c r="T30" s="95"/>
      <c r="U30" s="662"/>
      <c r="V30" s="406">
        <f>SUM(P30,R30,T30)</f>
        <v>0</v>
      </c>
      <c r="W30" s="407"/>
      <c r="X30" s="95"/>
      <c r="Y30" s="405"/>
      <c r="Z30" s="95"/>
      <c r="AA30" s="405"/>
      <c r="AB30" s="95"/>
      <c r="AC30" s="662"/>
      <c r="AD30" s="406">
        <f>SUM(X30,Z30,AB30)</f>
        <v>0</v>
      </c>
      <c r="AE30" s="407"/>
      <c r="AF30" s="95"/>
      <c r="AG30" s="405"/>
      <c r="AH30" s="95"/>
      <c r="AI30" s="405"/>
      <c r="AJ30" s="95"/>
      <c r="AK30" s="662"/>
      <c r="AL30" s="702">
        <f>SUM(AF30,AH30,AJ30)</f>
        <v>0</v>
      </c>
      <c r="AM30" s="407"/>
      <c r="AN30" s="589">
        <f t="shared" si="13"/>
        <v>10370060</v>
      </c>
      <c r="AO30" s="40"/>
      <c r="AP30" s="28"/>
      <c r="AQ30" s="28"/>
      <c r="AR30" s="28"/>
      <c r="AS30" s="28"/>
    </row>
    <row r="31" spans="1:46" s="10" customFormat="1" ht="18" customHeight="1">
      <c r="B31" s="86"/>
      <c r="C31" s="782"/>
      <c r="D31" s="779"/>
      <c r="E31" s="87" t="s">
        <v>61</v>
      </c>
      <c r="F31" s="87" t="s">
        <v>70</v>
      </c>
      <c r="G31" s="94" t="s">
        <v>71</v>
      </c>
      <c r="H31" s="95">
        <v>3450000</v>
      </c>
      <c r="I31" s="405"/>
      <c r="J31" s="95">
        <v>3450000</v>
      </c>
      <c r="K31" s="405"/>
      <c r="L31" s="95">
        <v>3550620</v>
      </c>
      <c r="M31" s="662"/>
      <c r="N31" s="406">
        <f>SUM(H31,J31,L31)</f>
        <v>10450620</v>
      </c>
      <c r="O31" s="407"/>
      <c r="P31" s="95"/>
      <c r="Q31" s="405"/>
      <c r="R31" s="95"/>
      <c r="S31" s="405"/>
      <c r="T31" s="95"/>
      <c r="U31" s="662"/>
      <c r="V31" s="406">
        <f>SUM(P31,R31,T31)</f>
        <v>0</v>
      </c>
      <c r="W31" s="407"/>
      <c r="X31" s="95"/>
      <c r="Y31" s="405"/>
      <c r="Z31" s="95"/>
      <c r="AA31" s="405"/>
      <c r="AB31" s="95"/>
      <c r="AC31" s="662"/>
      <c r="AD31" s="406">
        <f>SUM(X31,Z31,AB31)</f>
        <v>0</v>
      </c>
      <c r="AE31" s="407"/>
      <c r="AF31" s="95"/>
      <c r="AG31" s="405"/>
      <c r="AH31" s="95"/>
      <c r="AI31" s="405"/>
      <c r="AJ31" s="95"/>
      <c r="AK31" s="662"/>
      <c r="AL31" s="702">
        <f>SUM(AF31,AH31,AJ31)</f>
        <v>0</v>
      </c>
      <c r="AM31" s="407"/>
      <c r="AN31" s="589">
        <f t="shared" si="13"/>
        <v>10450620</v>
      </c>
      <c r="AO31" s="40"/>
      <c r="AP31" s="28"/>
      <c r="AQ31" s="28"/>
      <c r="AR31" s="28"/>
      <c r="AS31" s="28"/>
    </row>
    <row r="32" spans="1:46" s="10" customFormat="1" ht="18" customHeight="1">
      <c r="B32" s="86"/>
      <c r="C32" s="782"/>
      <c r="D32" s="779"/>
      <c r="E32" s="87" t="s">
        <v>61</v>
      </c>
      <c r="F32" s="87" t="s">
        <v>64</v>
      </c>
      <c r="G32" s="88" t="s">
        <v>65</v>
      </c>
      <c r="H32" s="134">
        <v>2489700</v>
      </c>
      <c r="I32" s="405"/>
      <c r="J32" s="134">
        <v>2551620</v>
      </c>
      <c r="K32" s="405"/>
      <c r="L32" s="134">
        <v>2559360</v>
      </c>
      <c r="M32" s="662"/>
      <c r="N32" s="406">
        <f t="shared" si="0"/>
        <v>7600680</v>
      </c>
      <c r="O32" s="407"/>
      <c r="P32" s="134"/>
      <c r="Q32" s="405"/>
      <c r="R32" s="134"/>
      <c r="S32" s="405"/>
      <c r="T32" s="134"/>
      <c r="U32" s="662"/>
      <c r="V32" s="406">
        <f t="shared" si="1"/>
        <v>0</v>
      </c>
      <c r="W32" s="407"/>
      <c r="X32" s="134"/>
      <c r="Y32" s="405"/>
      <c r="Z32" s="134"/>
      <c r="AA32" s="405"/>
      <c r="AB32" s="134"/>
      <c r="AC32" s="662"/>
      <c r="AD32" s="406">
        <f t="shared" si="2"/>
        <v>0</v>
      </c>
      <c r="AE32" s="407"/>
      <c r="AF32" s="134"/>
      <c r="AG32" s="405"/>
      <c r="AH32" s="134"/>
      <c r="AI32" s="405"/>
      <c r="AJ32" s="134"/>
      <c r="AK32" s="662"/>
      <c r="AL32" s="702">
        <f t="shared" si="3"/>
        <v>0</v>
      </c>
      <c r="AM32" s="407"/>
      <c r="AN32" s="589">
        <f t="shared" si="13"/>
        <v>7600680</v>
      </c>
      <c r="AO32" s="40"/>
      <c r="AP32" s="27"/>
      <c r="AQ32" s="28"/>
      <c r="AR32" s="28"/>
      <c r="AS32" s="28"/>
    </row>
    <row r="33" spans="2:45" s="10" customFormat="1" ht="18" customHeight="1">
      <c r="B33" s="86"/>
      <c r="C33" s="782"/>
      <c r="D33" s="779"/>
      <c r="E33" s="87" t="s">
        <v>61</v>
      </c>
      <c r="F33" s="87" t="s">
        <v>68</v>
      </c>
      <c r="G33" s="88" t="s">
        <v>69</v>
      </c>
      <c r="H33" s="95">
        <v>2427780</v>
      </c>
      <c r="I33" s="405"/>
      <c r="J33" s="95">
        <v>2551620</v>
      </c>
      <c r="K33" s="405"/>
      <c r="L33" s="95">
        <v>2435520</v>
      </c>
      <c r="M33" s="662"/>
      <c r="N33" s="406">
        <f t="shared" si="0"/>
        <v>7414920</v>
      </c>
      <c r="O33" s="407"/>
      <c r="P33" s="95"/>
      <c r="Q33" s="405"/>
      <c r="R33" s="95"/>
      <c r="S33" s="405"/>
      <c r="T33" s="95"/>
      <c r="U33" s="662"/>
      <c r="V33" s="406">
        <f t="shared" si="1"/>
        <v>0</v>
      </c>
      <c r="W33" s="407"/>
      <c r="X33" s="95"/>
      <c r="Y33" s="405"/>
      <c r="Z33" s="95"/>
      <c r="AA33" s="405"/>
      <c r="AB33" s="95"/>
      <c r="AC33" s="662"/>
      <c r="AD33" s="406">
        <f t="shared" si="2"/>
        <v>0</v>
      </c>
      <c r="AE33" s="407"/>
      <c r="AF33" s="95"/>
      <c r="AG33" s="405"/>
      <c r="AH33" s="95"/>
      <c r="AI33" s="405"/>
      <c r="AJ33" s="95"/>
      <c r="AK33" s="662"/>
      <c r="AL33" s="702">
        <f t="shared" si="3"/>
        <v>0</v>
      </c>
      <c r="AM33" s="407"/>
      <c r="AN33" s="589">
        <f t="shared" si="13"/>
        <v>7414920</v>
      </c>
      <c r="AO33" s="40"/>
      <c r="AP33" s="28"/>
      <c r="AQ33" s="28"/>
      <c r="AR33" s="28"/>
      <c r="AS33" s="28"/>
    </row>
    <row r="34" spans="2:45" s="10" customFormat="1" ht="18" customHeight="1">
      <c r="B34" s="86"/>
      <c r="C34" s="782"/>
      <c r="D34" s="779"/>
      <c r="E34" s="87" t="s">
        <v>61</v>
      </c>
      <c r="F34" s="87" t="s">
        <v>75</v>
      </c>
      <c r="G34" s="88" t="s">
        <v>76</v>
      </c>
      <c r="H34" s="95">
        <v>2427780</v>
      </c>
      <c r="I34" s="405"/>
      <c r="J34" s="95">
        <v>2543880</v>
      </c>
      <c r="K34" s="405"/>
      <c r="L34" s="95">
        <v>2342640</v>
      </c>
      <c r="M34" s="662"/>
      <c r="N34" s="406">
        <f t="shared" si="0"/>
        <v>7314300</v>
      </c>
      <c r="O34" s="407"/>
      <c r="P34" s="95"/>
      <c r="Q34" s="405"/>
      <c r="R34" s="95"/>
      <c r="S34" s="405"/>
      <c r="T34" s="95"/>
      <c r="U34" s="662"/>
      <c r="V34" s="406">
        <f t="shared" si="1"/>
        <v>0</v>
      </c>
      <c r="W34" s="407"/>
      <c r="X34" s="95"/>
      <c r="Y34" s="405"/>
      <c r="Z34" s="95"/>
      <c r="AA34" s="405"/>
      <c r="AB34" s="95"/>
      <c r="AC34" s="662"/>
      <c r="AD34" s="406">
        <f t="shared" si="2"/>
        <v>0</v>
      </c>
      <c r="AE34" s="407"/>
      <c r="AF34" s="95"/>
      <c r="AG34" s="405"/>
      <c r="AH34" s="95"/>
      <c r="AI34" s="405"/>
      <c r="AJ34" s="95"/>
      <c r="AK34" s="662"/>
      <c r="AL34" s="702">
        <f t="shared" si="3"/>
        <v>0</v>
      </c>
      <c r="AM34" s="407"/>
      <c r="AN34" s="589">
        <f t="shared" si="13"/>
        <v>7314300</v>
      </c>
      <c r="AO34" s="40"/>
      <c r="AP34" s="28"/>
      <c r="AQ34" s="28"/>
      <c r="AR34" s="28"/>
      <c r="AS34" s="28"/>
    </row>
    <row r="35" spans="2:45" s="10" customFormat="1" ht="18" customHeight="1">
      <c r="B35" s="86"/>
      <c r="C35" s="782"/>
      <c r="D35" s="779"/>
      <c r="E35" s="87" t="s">
        <v>61</v>
      </c>
      <c r="F35" s="87" t="s">
        <v>77</v>
      </c>
      <c r="G35" s="94" t="s">
        <v>78</v>
      </c>
      <c r="H35" s="95">
        <v>2303940</v>
      </c>
      <c r="I35" s="405"/>
      <c r="J35" s="95">
        <v>2543880</v>
      </c>
      <c r="K35" s="405"/>
      <c r="L35" s="95">
        <v>2288460</v>
      </c>
      <c r="M35" s="662"/>
      <c r="N35" s="406">
        <f t="shared" si="0"/>
        <v>7136280</v>
      </c>
      <c r="O35" s="407"/>
      <c r="P35" s="95"/>
      <c r="Q35" s="405"/>
      <c r="R35" s="95"/>
      <c r="S35" s="405"/>
      <c r="T35" s="95"/>
      <c r="U35" s="662"/>
      <c r="V35" s="406">
        <f t="shared" si="1"/>
        <v>0</v>
      </c>
      <c r="W35" s="407"/>
      <c r="X35" s="95"/>
      <c r="Y35" s="405"/>
      <c r="Z35" s="95"/>
      <c r="AA35" s="405"/>
      <c r="AB35" s="95"/>
      <c r="AC35" s="662"/>
      <c r="AD35" s="406">
        <f t="shared" si="2"/>
        <v>0</v>
      </c>
      <c r="AE35" s="407"/>
      <c r="AF35" s="95"/>
      <c r="AG35" s="405"/>
      <c r="AH35" s="95"/>
      <c r="AI35" s="405"/>
      <c r="AJ35" s="95"/>
      <c r="AK35" s="662"/>
      <c r="AL35" s="702">
        <f t="shared" si="3"/>
        <v>0</v>
      </c>
      <c r="AM35" s="407"/>
      <c r="AN35" s="589">
        <f t="shared" si="13"/>
        <v>7136280</v>
      </c>
      <c r="AO35" s="40"/>
      <c r="AP35" s="28"/>
      <c r="AQ35" s="28"/>
      <c r="AR35" s="28"/>
      <c r="AS35" s="28"/>
    </row>
    <row r="36" spans="2:45" s="10" customFormat="1" ht="18" customHeight="1">
      <c r="B36" s="86"/>
      <c r="C36" s="782"/>
      <c r="D36" s="779"/>
      <c r="E36" s="87" t="s">
        <v>74</v>
      </c>
      <c r="F36" s="87" t="s">
        <v>85</v>
      </c>
      <c r="G36" s="88" t="s">
        <v>86</v>
      </c>
      <c r="H36" s="95">
        <v>3500000</v>
      </c>
      <c r="I36" s="405"/>
      <c r="J36" s="95">
        <v>2767080</v>
      </c>
      <c r="K36" s="405"/>
      <c r="L36" s="95">
        <v>2648380</v>
      </c>
      <c r="M36" s="662"/>
      <c r="N36" s="406">
        <f>SUM(H36,J36,L36)</f>
        <v>8915460</v>
      </c>
      <c r="O36" s="407"/>
      <c r="P36" s="95"/>
      <c r="Q36" s="405"/>
      <c r="R36" s="95"/>
      <c r="S36" s="405"/>
      <c r="T36" s="95"/>
      <c r="U36" s="662"/>
      <c r="V36" s="406">
        <f>SUM(P36,R36,T36)</f>
        <v>0</v>
      </c>
      <c r="W36" s="407"/>
      <c r="X36" s="95"/>
      <c r="Y36" s="405"/>
      <c r="Z36" s="95"/>
      <c r="AA36" s="405"/>
      <c r="AB36" s="95"/>
      <c r="AC36" s="662"/>
      <c r="AD36" s="406">
        <f>SUM(X36,Z36,AB36)</f>
        <v>0</v>
      </c>
      <c r="AE36" s="407"/>
      <c r="AF36" s="95"/>
      <c r="AG36" s="405"/>
      <c r="AH36" s="95"/>
      <c r="AI36" s="405"/>
      <c r="AJ36" s="95"/>
      <c r="AK36" s="662"/>
      <c r="AL36" s="702">
        <f>SUM(AF36,AH36,AJ36)</f>
        <v>0</v>
      </c>
      <c r="AM36" s="407"/>
      <c r="AN36" s="589">
        <f>SUM(AD36,V36,N36,AL36)</f>
        <v>8915460</v>
      </c>
      <c r="AO36" s="40"/>
      <c r="AP36" s="27"/>
      <c r="AQ36" s="28"/>
      <c r="AR36" s="28"/>
      <c r="AS36" s="28"/>
    </row>
    <row r="37" spans="2:45" s="10" customFormat="1" ht="18" customHeight="1">
      <c r="B37" s="86"/>
      <c r="C37" s="782"/>
      <c r="D37" s="779"/>
      <c r="E37" s="87" t="s">
        <v>74</v>
      </c>
      <c r="F37" s="87" t="s">
        <v>83</v>
      </c>
      <c r="G37" s="88" t="s">
        <v>84</v>
      </c>
      <c r="H37" s="95">
        <v>2839700</v>
      </c>
      <c r="I37" s="405"/>
      <c r="J37" s="95">
        <v>2543880</v>
      </c>
      <c r="K37" s="405"/>
      <c r="L37" s="95">
        <v>2412300</v>
      </c>
      <c r="M37" s="662"/>
      <c r="N37" s="406">
        <f>SUM(H37,J37,L37)</f>
        <v>7795880</v>
      </c>
      <c r="O37" s="407"/>
      <c r="P37" s="95"/>
      <c r="Q37" s="405"/>
      <c r="R37" s="95"/>
      <c r="S37" s="405"/>
      <c r="T37" s="95"/>
      <c r="U37" s="662"/>
      <c r="V37" s="406">
        <f>SUM(P37,R37,T37)</f>
        <v>0</v>
      </c>
      <c r="W37" s="407"/>
      <c r="X37" s="95"/>
      <c r="Y37" s="405"/>
      <c r="Z37" s="95"/>
      <c r="AA37" s="405"/>
      <c r="AB37" s="95"/>
      <c r="AC37" s="662"/>
      <c r="AD37" s="406">
        <f>SUM(X37,Z37,AB37)</f>
        <v>0</v>
      </c>
      <c r="AE37" s="407"/>
      <c r="AF37" s="95"/>
      <c r="AG37" s="405"/>
      <c r="AH37" s="95"/>
      <c r="AI37" s="405"/>
      <c r="AJ37" s="95"/>
      <c r="AK37" s="662"/>
      <c r="AL37" s="702">
        <f>SUM(AF37,AH37,AJ37)</f>
        <v>0</v>
      </c>
      <c r="AM37" s="407"/>
      <c r="AN37" s="589">
        <f>SUM(AD37,V37,N37,AL37)</f>
        <v>7795880</v>
      </c>
      <c r="AO37" s="40"/>
      <c r="AP37" s="28"/>
      <c r="AQ37" s="28"/>
      <c r="AR37" s="28"/>
      <c r="AS37" s="28"/>
    </row>
    <row r="38" spans="2:45" s="10" customFormat="1" ht="18" customHeight="1">
      <c r="B38" s="86"/>
      <c r="C38" s="782"/>
      <c r="D38" s="779"/>
      <c r="E38" s="87" t="s">
        <v>74</v>
      </c>
      <c r="F38" s="87" t="s">
        <v>87</v>
      </c>
      <c r="G38" s="88" t="s">
        <v>88</v>
      </c>
      <c r="H38" s="95">
        <v>2700000</v>
      </c>
      <c r="I38" s="405"/>
      <c r="J38" s="95">
        <v>2829000</v>
      </c>
      <c r="K38" s="405"/>
      <c r="L38" s="95">
        <v>2700000</v>
      </c>
      <c r="M38" s="662"/>
      <c r="N38" s="406">
        <f>SUM(H38,J38,L38)</f>
        <v>8229000</v>
      </c>
      <c r="O38" s="407"/>
      <c r="P38" s="95"/>
      <c r="Q38" s="405"/>
      <c r="R38" s="95"/>
      <c r="S38" s="405"/>
      <c r="T38" s="95"/>
      <c r="U38" s="662"/>
      <c r="V38" s="406">
        <f>SUM(P38,R38,T38)</f>
        <v>0</v>
      </c>
      <c r="W38" s="407"/>
      <c r="X38" s="95"/>
      <c r="Y38" s="405"/>
      <c r="Z38" s="95"/>
      <c r="AA38" s="405"/>
      <c r="AB38" s="95"/>
      <c r="AC38" s="662"/>
      <c r="AD38" s="406">
        <f>SUM(X38,Z38,AB38)</f>
        <v>0</v>
      </c>
      <c r="AE38" s="407"/>
      <c r="AF38" s="95"/>
      <c r="AG38" s="405"/>
      <c r="AH38" s="95"/>
      <c r="AI38" s="405"/>
      <c r="AJ38" s="95"/>
      <c r="AK38" s="662"/>
      <c r="AL38" s="702">
        <f>SUM(AF38,AH38,AJ38)</f>
        <v>0</v>
      </c>
      <c r="AM38" s="407"/>
      <c r="AN38" s="589">
        <f>SUM(AD38,V38,N38,AL38)</f>
        <v>8229000</v>
      </c>
      <c r="AO38" s="40"/>
      <c r="AP38" s="27"/>
      <c r="AQ38" s="28"/>
      <c r="AR38" s="28"/>
      <c r="AS38" s="28"/>
    </row>
    <row r="39" spans="2:45" s="10" customFormat="1" ht="18" customHeight="1">
      <c r="B39" s="86"/>
      <c r="C39" s="782"/>
      <c r="D39" s="779"/>
      <c r="E39" s="87" t="s">
        <v>74</v>
      </c>
      <c r="F39" s="87" t="s">
        <v>79</v>
      </c>
      <c r="G39" s="88" t="s">
        <v>80</v>
      </c>
      <c r="H39" s="95">
        <v>2700000</v>
      </c>
      <c r="I39" s="405"/>
      <c r="J39" s="95">
        <v>544920</v>
      </c>
      <c r="K39" s="405"/>
      <c r="L39" s="95">
        <v>2053440</v>
      </c>
      <c r="M39" s="662"/>
      <c r="N39" s="406">
        <f t="shared" si="0"/>
        <v>5298360</v>
      </c>
      <c r="O39" s="407"/>
      <c r="P39" s="95"/>
      <c r="Q39" s="405"/>
      <c r="R39" s="95"/>
      <c r="S39" s="405"/>
      <c r="T39" s="95"/>
      <c r="U39" s="662"/>
      <c r="V39" s="406">
        <f t="shared" si="1"/>
        <v>0</v>
      </c>
      <c r="W39" s="407"/>
      <c r="X39" s="95"/>
      <c r="Y39" s="405"/>
      <c r="Z39" s="95"/>
      <c r="AA39" s="405"/>
      <c r="AB39" s="95"/>
      <c r="AC39" s="662"/>
      <c r="AD39" s="406">
        <f t="shared" si="2"/>
        <v>0</v>
      </c>
      <c r="AE39" s="407"/>
      <c r="AF39" s="95"/>
      <c r="AG39" s="405"/>
      <c r="AH39" s="95"/>
      <c r="AI39" s="405"/>
      <c r="AJ39" s="95"/>
      <c r="AK39" s="662"/>
      <c r="AL39" s="702">
        <f t="shared" si="3"/>
        <v>0</v>
      </c>
      <c r="AM39" s="407"/>
      <c r="AN39" s="589">
        <f t="shared" si="13"/>
        <v>5298360</v>
      </c>
      <c r="AO39" s="40"/>
      <c r="AP39" s="28"/>
      <c r="AQ39" s="28"/>
      <c r="AR39" s="28"/>
      <c r="AS39" s="28"/>
    </row>
    <row r="40" spans="2:45" s="10" customFormat="1" ht="18" customHeight="1">
      <c r="B40" s="86"/>
      <c r="C40" s="782"/>
      <c r="D40" s="779"/>
      <c r="E40" s="87" t="s">
        <v>74</v>
      </c>
      <c r="F40" s="87" t="s">
        <v>81</v>
      </c>
      <c r="G40" s="88" t="s">
        <v>82</v>
      </c>
      <c r="H40" s="95">
        <v>2420040</v>
      </c>
      <c r="I40" s="405"/>
      <c r="J40" s="95">
        <v>3500000</v>
      </c>
      <c r="K40" s="405"/>
      <c r="L40" s="95">
        <v>3577400</v>
      </c>
      <c r="M40" s="662"/>
      <c r="N40" s="406">
        <f>SUM(H40,J40,L40)</f>
        <v>9497440</v>
      </c>
      <c r="O40" s="407"/>
      <c r="P40" s="95"/>
      <c r="Q40" s="405"/>
      <c r="R40" s="95"/>
      <c r="S40" s="405"/>
      <c r="T40" s="95"/>
      <c r="U40" s="662"/>
      <c r="V40" s="406">
        <f>SUM(P40,R40,T40)</f>
        <v>0</v>
      </c>
      <c r="W40" s="407"/>
      <c r="X40" s="95"/>
      <c r="Y40" s="405"/>
      <c r="Z40" s="95"/>
      <c r="AA40" s="405"/>
      <c r="AB40" s="95"/>
      <c r="AC40" s="662"/>
      <c r="AD40" s="406">
        <f>SUM(X40,Z40,AB40)</f>
        <v>0</v>
      </c>
      <c r="AE40" s="407"/>
      <c r="AF40" s="95"/>
      <c r="AG40" s="405"/>
      <c r="AH40" s="95"/>
      <c r="AI40" s="405"/>
      <c r="AJ40" s="95"/>
      <c r="AK40" s="662"/>
      <c r="AL40" s="702">
        <f>SUM(AF40,AH40,AJ40)</f>
        <v>0</v>
      </c>
      <c r="AM40" s="407"/>
      <c r="AN40" s="589">
        <f t="shared" si="13"/>
        <v>9497440</v>
      </c>
      <c r="AO40" s="40"/>
      <c r="AP40" s="28"/>
      <c r="AQ40" s="28"/>
      <c r="AR40" s="28"/>
      <c r="AS40" s="28"/>
    </row>
    <row r="41" spans="2:45" s="10" customFormat="1" ht="18" customHeight="1">
      <c r="B41" s="86"/>
      <c r="C41" s="782"/>
      <c r="D41" s="779"/>
      <c r="E41" s="87" t="s">
        <v>74</v>
      </c>
      <c r="F41" s="87" t="s">
        <v>89</v>
      </c>
      <c r="G41" s="88" t="s">
        <v>90</v>
      </c>
      <c r="H41" s="95">
        <v>2489700</v>
      </c>
      <c r="I41" s="405"/>
      <c r="J41" s="95">
        <v>2543880</v>
      </c>
      <c r="K41" s="405"/>
      <c r="L41" s="95">
        <v>2435520</v>
      </c>
      <c r="M41" s="662"/>
      <c r="N41" s="406">
        <f t="shared" si="0"/>
        <v>7469100</v>
      </c>
      <c r="O41" s="407"/>
      <c r="P41" s="95"/>
      <c r="Q41" s="405"/>
      <c r="R41" s="95"/>
      <c r="S41" s="405"/>
      <c r="T41" s="95"/>
      <c r="U41" s="662"/>
      <c r="V41" s="406">
        <f t="shared" si="1"/>
        <v>0</v>
      </c>
      <c r="W41" s="407"/>
      <c r="X41" s="95"/>
      <c r="Y41" s="405"/>
      <c r="Z41" s="95"/>
      <c r="AA41" s="405"/>
      <c r="AB41" s="95"/>
      <c r="AC41" s="662"/>
      <c r="AD41" s="406">
        <f t="shared" si="2"/>
        <v>0</v>
      </c>
      <c r="AE41" s="407"/>
      <c r="AF41" s="95"/>
      <c r="AG41" s="405"/>
      <c r="AH41" s="95"/>
      <c r="AI41" s="405"/>
      <c r="AJ41" s="95"/>
      <c r="AK41" s="662"/>
      <c r="AL41" s="702">
        <f t="shared" si="3"/>
        <v>0</v>
      </c>
      <c r="AM41" s="407"/>
      <c r="AN41" s="589">
        <f t="shared" si="13"/>
        <v>7469100</v>
      </c>
      <c r="AO41" s="40"/>
      <c r="AP41" s="27"/>
      <c r="AQ41" s="28"/>
      <c r="AR41" s="28"/>
      <c r="AS41" s="28"/>
    </row>
    <row r="42" spans="2:45" s="10" customFormat="1" ht="18" customHeight="1">
      <c r="B42" s="86"/>
      <c r="C42" s="782"/>
      <c r="D42" s="779"/>
      <c r="E42" s="87" t="s">
        <v>74</v>
      </c>
      <c r="F42" s="87" t="s">
        <v>483</v>
      </c>
      <c r="G42" s="88" t="s">
        <v>485</v>
      </c>
      <c r="H42" s="95">
        <v>483870.96774193546</v>
      </c>
      <c r="I42" s="405"/>
      <c r="J42" s="95">
        <v>1696430</v>
      </c>
      <c r="K42" s="405"/>
      <c r="L42" s="95"/>
      <c r="M42" s="662"/>
      <c r="N42" s="406">
        <f t="shared" si="0"/>
        <v>2180300.9677419355</v>
      </c>
      <c r="O42" s="407"/>
      <c r="P42" s="95"/>
      <c r="Q42" s="405"/>
      <c r="R42" s="95"/>
      <c r="S42" s="405"/>
      <c r="T42" s="95"/>
      <c r="U42" s="662"/>
      <c r="V42" s="406">
        <f t="shared" si="1"/>
        <v>0</v>
      </c>
      <c r="W42" s="407"/>
      <c r="X42" s="95"/>
      <c r="Y42" s="405"/>
      <c r="Z42" s="95"/>
      <c r="AA42" s="405"/>
      <c r="AB42" s="95"/>
      <c r="AC42" s="662"/>
      <c r="AD42" s="406">
        <f t="shared" si="2"/>
        <v>0</v>
      </c>
      <c r="AE42" s="407"/>
      <c r="AF42" s="95"/>
      <c r="AG42" s="405"/>
      <c r="AH42" s="95"/>
      <c r="AI42" s="405"/>
      <c r="AJ42" s="95"/>
      <c r="AK42" s="662"/>
      <c r="AL42" s="702">
        <f t="shared" si="3"/>
        <v>0</v>
      </c>
      <c r="AM42" s="407"/>
      <c r="AN42" s="589">
        <f t="shared" si="13"/>
        <v>2180300.9677419355</v>
      </c>
      <c r="AO42" s="40"/>
      <c r="AP42" s="28"/>
      <c r="AQ42" s="28"/>
      <c r="AR42" s="28"/>
      <c r="AS42" s="28"/>
    </row>
    <row r="43" spans="2:45" s="10" customFormat="1" ht="18" customHeight="1">
      <c r="B43" s="86"/>
      <c r="C43" s="782"/>
      <c r="D43" s="779"/>
      <c r="E43" s="87" t="s">
        <v>74</v>
      </c>
      <c r="F43" s="87" t="s">
        <v>484</v>
      </c>
      <c r="G43" s="88" t="s">
        <v>492</v>
      </c>
      <c r="H43" s="95">
        <v>0</v>
      </c>
      <c r="I43" s="405"/>
      <c r="J43" s="95">
        <v>867850</v>
      </c>
      <c r="K43" s="405"/>
      <c r="L43" s="95">
        <v>802250</v>
      </c>
      <c r="M43" s="662"/>
      <c r="N43" s="406">
        <f t="shared" si="0"/>
        <v>1670100</v>
      </c>
      <c r="O43" s="407"/>
      <c r="P43" s="95"/>
      <c r="Q43" s="405"/>
      <c r="R43" s="95"/>
      <c r="S43" s="405"/>
      <c r="T43" s="95"/>
      <c r="U43" s="662"/>
      <c r="V43" s="406">
        <f t="shared" si="1"/>
        <v>0</v>
      </c>
      <c r="W43" s="407"/>
      <c r="X43" s="95"/>
      <c r="Y43" s="405"/>
      <c r="Z43" s="95"/>
      <c r="AA43" s="405"/>
      <c r="AB43" s="95"/>
      <c r="AC43" s="662"/>
      <c r="AD43" s="406">
        <f t="shared" si="2"/>
        <v>0</v>
      </c>
      <c r="AE43" s="407"/>
      <c r="AF43" s="95"/>
      <c r="AG43" s="405"/>
      <c r="AH43" s="95"/>
      <c r="AI43" s="405"/>
      <c r="AJ43" s="95"/>
      <c r="AK43" s="662"/>
      <c r="AL43" s="702">
        <f t="shared" si="3"/>
        <v>0</v>
      </c>
      <c r="AM43" s="407"/>
      <c r="AN43" s="589">
        <f t="shared" si="13"/>
        <v>1670100</v>
      </c>
      <c r="AO43" s="40"/>
      <c r="AP43" s="28"/>
      <c r="AQ43" s="28"/>
      <c r="AR43" s="28"/>
      <c r="AS43" s="28"/>
    </row>
    <row r="44" spans="2:45" s="10" customFormat="1" ht="18" customHeight="1">
      <c r="B44" s="86"/>
      <c r="C44" s="782"/>
      <c r="D44" s="779"/>
      <c r="E44" s="87" t="s">
        <v>74</v>
      </c>
      <c r="F44" s="106" t="s">
        <v>612</v>
      </c>
      <c r="G44" s="100" t="s">
        <v>613</v>
      </c>
      <c r="H44" s="95">
        <v>0</v>
      </c>
      <c r="I44" s="405"/>
      <c r="J44" s="95">
        <v>0</v>
      </c>
      <c r="K44" s="405"/>
      <c r="L44" s="95">
        <v>2133990</v>
      </c>
      <c r="M44" s="662"/>
      <c r="N44" s="406">
        <f t="shared" si="0"/>
        <v>2133990</v>
      </c>
      <c r="O44" s="407"/>
      <c r="P44" s="95"/>
      <c r="Q44" s="405"/>
      <c r="R44" s="95"/>
      <c r="S44" s="405"/>
      <c r="T44" s="95"/>
      <c r="U44" s="662"/>
      <c r="V44" s="406"/>
      <c r="W44" s="407"/>
      <c r="X44" s="95"/>
      <c r="Y44" s="405"/>
      <c r="Z44" s="95"/>
      <c r="AA44" s="405"/>
      <c r="AB44" s="95"/>
      <c r="AC44" s="662"/>
      <c r="AD44" s="406"/>
      <c r="AE44" s="407"/>
      <c r="AF44" s="95"/>
      <c r="AG44" s="405"/>
      <c r="AH44" s="95"/>
      <c r="AI44" s="405"/>
      <c r="AJ44" s="95"/>
      <c r="AK44" s="662"/>
      <c r="AL44" s="702"/>
      <c r="AM44" s="407"/>
      <c r="AN44" s="589">
        <f t="shared" si="13"/>
        <v>2133990</v>
      </c>
      <c r="AO44" s="40"/>
      <c r="AP44" s="28"/>
      <c r="AQ44" s="28"/>
      <c r="AR44" s="28"/>
      <c r="AS44" s="28"/>
    </row>
    <row r="45" spans="2:45" s="10" customFormat="1" ht="18" customHeight="1">
      <c r="B45" s="86"/>
      <c r="C45" s="782"/>
      <c r="D45" s="779"/>
      <c r="E45" s="106" t="s">
        <v>61</v>
      </c>
      <c r="F45" s="106" t="s">
        <v>116</v>
      </c>
      <c r="G45" s="489" t="s">
        <v>117</v>
      </c>
      <c r="H45" s="402">
        <v>6952007</v>
      </c>
      <c r="I45" s="405"/>
      <c r="J45" s="402">
        <v>0</v>
      </c>
      <c r="K45" s="405"/>
      <c r="L45" s="402">
        <v>0</v>
      </c>
      <c r="M45" s="662"/>
      <c r="N45" s="406">
        <f t="shared" si="0"/>
        <v>6952007</v>
      </c>
      <c r="O45" s="407"/>
      <c r="P45" s="402"/>
      <c r="Q45" s="405"/>
      <c r="R45" s="402"/>
      <c r="S45" s="405"/>
      <c r="T45" s="402"/>
      <c r="U45" s="662"/>
      <c r="V45" s="406">
        <f t="shared" si="1"/>
        <v>0</v>
      </c>
      <c r="W45" s="407"/>
      <c r="X45" s="402"/>
      <c r="Y45" s="405"/>
      <c r="Z45" s="402"/>
      <c r="AA45" s="405"/>
      <c r="AB45" s="402"/>
      <c r="AC45" s="662"/>
      <c r="AD45" s="406">
        <f t="shared" si="2"/>
        <v>0</v>
      </c>
      <c r="AE45" s="407"/>
      <c r="AF45" s="402"/>
      <c r="AG45" s="405"/>
      <c r="AH45" s="402"/>
      <c r="AI45" s="405"/>
      <c r="AJ45" s="402"/>
      <c r="AK45" s="662"/>
      <c r="AL45" s="702">
        <f t="shared" si="3"/>
        <v>0</v>
      </c>
      <c r="AM45" s="407"/>
      <c r="AN45" s="584">
        <f>SUM(N45+V45+AD45+AL45)</f>
        <v>6952007</v>
      </c>
      <c r="AO45" s="40"/>
      <c r="AP45" s="28"/>
      <c r="AQ45" s="28"/>
      <c r="AR45" s="28"/>
      <c r="AS45" s="28"/>
    </row>
    <row r="46" spans="2:45" s="10" customFormat="1" ht="18" customHeight="1">
      <c r="B46" s="86"/>
      <c r="C46" s="782"/>
      <c r="D46" s="779"/>
      <c r="E46" s="106" t="s">
        <v>74</v>
      </c>
      <c r="F46" s="106" t="s">
        <v>118</v>
      </c>
      <c r="G46" s="100" t="s">
        <v>119</v>
      </c>
      <c r="H46" s="714">
        <v>3000000</v>
      </c>
      <c r="I46" s="409"/>
      <c r="J46" s="714">
        <v>3000000</v>
      </c>
      <c r="K46" s="409"/>
      <c r="L46" s="714">
        <v>3000000</v>
      </c>
      <c r="M46" s="663"/>
      <c r="N46" s="408">
        <f>SUM(H46,J46,L46)</f>
        <v>9000000</v>
      </c>
      <c r="O46" s="410"/>
      <c r="P46" s="404"/>
      <c r="Q46" s="409"/>
      <c r="R46" s="404"/>
      <c r="S46" s="409"/>
      <c r="T46" s="404"/>
      <c r="U46" s="663"/>
      <c r="V46" s="408">
        <f>SUM(P46,R46,T46)</f>
        <v>0</v>
      </c>
      <c r="W46" s="410"/>
      <c r="X46" s="404"/>
      <c r="Y46" s="409"/>
      <c r="Z46" s="404"/>
      <c r="AA46" s="409"/>
      <c r="AB46" s="404"/>
      <c r="AC46" s="663"/>
      <c r="AD46" s="408">
        <f>SUM(X46,Z46,AB46)</f>
        <v>0</v>
      </c>
      <c r="AE46" s="410"/>
      <c r="AF46" s="404"/>
      <c r="AG46" s="409"/>
      <c r="AH46" s="404"/>
      <c r="AI46" s="409"/>
      <c r="AJ46" s="404"/>
      <c r="AK46" s="663"/>
      <c r="AL46" s="703">
        <f>SUM(AF46,AH46,AJ46)</f>
        <v>0</v>
      </c>
      <c r="AM46" s="410"/>
      <c r="AN46" s="589">
        <f>SUM(AD46,V46,N46,AL46)</f>
        <v>9000000</v>
      </c>
      <c r="AO46" s="66"/>
      <c r="AP46" s="27"/>
      <c r="AQ46" s="28"/>
      <c r="AR46" s="28"/>
      <c r="AS46" s="28"/>
    </row>
    <row r="47" spans="2:45" s="10" customFormat="1" ht="18" customHeight="1">
      <c r="B47" s="86"/>
      <c r="C47" s="782"/>
      <c r="D47" s="779"/>
      <c r="E47" s="106" t="s">
        <v>74</v>
      </c>
      <c r="F47" s="826" t="s">
        <v>642</v>
      </c>
      <c r="G47" s="100" t="s">
        <v>643</v>
      </c>
      <c r="H47" s="479"/>
      <c r="I47" s="409"/>
      <c r="J47" s="479"/>
      <c r="K47" s="409"/>
      <c r="L47" s="714">
        <v>2380640</v>
      </c>
      <c r="M47" s="663"/>
      <c r="N47" s="408">
        <f>SUM(H47,J47,L47)</f>
        <v>2380640</v>
      </c>
      <c r="O47" s="410"/>
      <c r="P47" s="404"/>
      <c r="Q47" s="409"/>
      <c r="R47" s="404"/>
      <c r="S47" s="409"/>
      <c r="T47" s="404"/>
      <c r="U47" s="663"/>
      <c r="V47" s="408"/>
      <c r="W47" s="410"/>
      <c r="X47" s="404"/>
      <c r="Y47" s="409"/>
      <c r="Z47" s="404"/>
      <c r="AA47" s="409"/>
      <c r="AB47" s="404"/>
      <c r="AC47" s="663"/>
      <c r="AD47" s="408"/>
      <c r="AE47" s="410"/>
      <c r="AF47" s="404"/>
      <c r="AG47" s="409"/>
      <c r="AH47" s="404"/>
      <c r="AI47" s="409"/>
      <c r="AJ47" s="404"/>
      <c r="AK47" s="663"/>
      <c r="AL47" s="703"/>
      <c r="AM47" s="410"/>
      <c r="AN47" s="589">
        <f>SUM(AD47,V47,N47,AL47)</f>
        <v>2380640</v>
      </c>
      <c r="AO47" s="66"/>
      <c r="AP47" s="27"/>
      <c r="AQ47" s="28"/>
      <c r="AR47" s="28"/>
      <c r="AS47" s="28"/>
    </row>
    <row r="48" spans="2:45" s="10" customFormat="1" ht="18" customHeight="1">
      <c r="B48" s="86"/>
      <c r="C48" s="782"/>
      <c r="D48" s="779"/>
      <c r="E48" s="106" t="s">
        <v>74</v>
      </c>
      <c r="F48" s="87" t="s">
        <v>91</v>
      </c>
      <c r="G48" s="191" t="s">
        <v>495</v>
      </c>
      <c r="H48" s="95">
        <v>0</v>
      </c>
      <c r="I48" s="405"/>
      <c r="J48" s="715">
        <v>123840</v>
      </c>
      <c r="K48" s="405"/>
      <c r="L48" s="402">
        <v>0</v>
      </c>
      <c r="M48" s="662"/>
      <c r="N48" s="406">
        <f t="shared" ref="N48:N51" si="14">SUM(H48,J48,L48)</f>
        <v>123840</v>
      </c>
      <c r="O48" s="407"/>
      <c r="P48" s="402"/>
      <c r="Q48" s="405"/>
      <c r="R48" s="402"/>
      <c r="S48" s="405"/>
      <c r="T48" s="402"/>
      <c r="U48" s="662"/>
      <c r="V48" s="406">
        <f>SUM(P48,R48,T48)</f>
        <v>0</v>
      </c>
      <c r="W48" s="407"/>
      <c r="X48" s="402"/>
      <c r="Y48" s="405"/>
      <c r="Z48" s="402"/>
      <c r="AA48" s="405"/>
      <c r="AB48" s="402"/>
      <c r="AC48" s="662"/>
      <c r="AD48" s="406">
        <f>SUM(X48,Z48,AB48)</f>
        <v>0</v>
      </c>
      <c r="AE48" s="407"/>
      <c r="AF48" s="402"/>
      <c r="AG48" s="405"/>
      <c r="AH48" s="402"/>
      <c r="AI48" s="405"/>
      <c r="AJ48" s="402"/>
      <c r="AK48" s="662"/>
      <c r="AL48" s="702">
        <f>SUM(AF48,AH48,AJ48)</f>
        <v>0</v>
      </c>
      <c r="AM48" s="407"/>
      <c r="AN48" s="584">
        <f t="shared" ref="AN48:AN80" si="15">SUM(N48+V48+AD48+AL48)</f>
        <v>123840</v>
      </c>
      <c r="AO48" s="40"/>
      <c r="AP48" s="28"/>
      <c r="AQ48" s="28"/>
      <c r="AR48" s="28"/>
      <c r="AS48" s="28"/>
    </row>
    <row r="49" spans="2:46" s="10" customFormat="1" ht="18" customHeight="1" thickBot="1">
      <c r="B49" s="86"/>
      <c r="C49" s="782"/>
      <c r="D49" s="780"/>
      <c r="E49" s="827" t="s">
        <v>102</v>
      </c>
      <c r="F49" s="827" t="s">
        <v>493</v>
      </c>
      <c r="G49" s="773" t="s">
        <v>494</v>
      </c>
      <c r="H49" s="499">
        <f>H48+H46</f>
        <v>3000000</v>
      </c>
      <c r="I49" s="500"/>
      <c r="J49" s="499">
        <f>J48+J46</f>
        <v>3123840</v>
      </c>
      <c r="K49" s="500"/>
      <c r="L49" s="499">
        <f>L48+L47+L46</f>
        <v>5380640</v>
      </c>
      <c r="M49" s="664"/>
      <c r="N49" s="501">
        <f t="shared" si="14"/>
        <v>11504480</v>
      </c>
      <c r="O49" s="502"/>
      <c r="P49" s="499"/>
      <c r="Q49" s="500"/>
      <c r="R49" s="499"/>
      <c r="S49" s="500"/>
      <c r="T49" s="499"/>
      <c r="U49" s="664"/>
      <c r="V49" s="501">
        <f>SUM(P49,R49,T49)</f>
        <v>0</v>
      </c>
      <c r="W49" s="696"/>
      <c r="X49" s="503"/>
      <c r="Y49" s="504"/>
      <c r="Z49" s="503"/>
      <c r="AA49" s="504"/>
      <c r="AB49" s="503"/>
      <c r="AC49" s="698"/>
      <c r="AD49" s="505">
        <f>SUM(X49,Z49,AB49)</f>
        <v>0</v>
      </c>
      <c r="AE49" s="696"/>
      <c r="AF49" s="503"/>
      <c r="AG49" s="504"/>
      <c r="AH49" s="503"/>
      <c r="AI49" s="504"/>
      <c r="AJ49" s="503"/>
      <c r="AK49" s="698"/>
      <c r="AL49" s="505">
        <f>SUM(AF49,AH49,AJ49)</f>
        <v>0</v>
      </c>
      <c r="AM49" s="696"/>
      <c r="AN49" s="505">
        <f t="shared" si="15"/>
        <v>11504480</v>
      </c>
      <c r="AO49" s="506"/>
      <c r="AP49" s="716" t="s">
        <v>602</v>
      </c>
      <c r="AQ49" s="28"/>
      <c r="AR49" s="28"/>
      <c r="AS49" s="28"/>
    </row>
    <row r="50" spans="2:46" s="10" customFormat="1" ht="18" customHeight="1" thickBot="1">
      <c r="B50" s="86"/>
      <c r="C50" s="782"/>
      <c r="D50" s="1138" t="s">
        <v>606</v>
      </c>
      <c r="E50" s="1139"/>
      <c r="F50" s="1139"/>
      <c r="G50" s="1140"/>
      <c r="H50" s="494">
        <f>SUM(H28:H48)</f>
        <v>52767837.967741936</v>
      </c>
      <c r="I50" s="495"/>
      <c r="J50" s="494">
        <f>SUM(J28:J48)</f>
        <v>46641200</v>
      </c>
      <c r="K50" s="495"/>
      <c r="L50" s="494">
        <f>SUM(L28:L48)</f>
        <v>50222010</v>
      </c>
      <c r="M50" s="665"/>
      <c r="N50" s="496">
        <f t="shared" si="14"/>
        <v>149631047.96774194</v>
      </c>
      <c r="O50" s="497"/>
      <c r="P50" s="494">
        <f>SUM(P28:P48)</f>
        <v>0</v>
      </c>
      <c r="Q50" s="495"/>
      <c r="R50" s="494">
        <f>SUM(R28:R48)</f>
        <v>0</v>
      </c>
      <c r="S50" s="495"/>
      <c r="T50" s="494">
        <f>SUM(T28:T48)</f>
        <v>0</v>
      </c>
      <c r="U50" s="665"/>
      <c r="V50" s="496">
        <f>SUM(P50,R50,T50)</f>
        <v>0</v>
      </c>
      <c r="W50" s="497"/>
      <c r="X50" s="494">
        <f>SUM(X28:X48)</f>
        <v>0</v>
      </c>
      <c r="Y50" s="495"/>
      <c r="Z50" s="494">
        <f>SUM(Z28:Z48)</f>
        <v>0</v>
      </c>
      <c r="AA50" s="495"/>
      <c r="AB50" s="494">
        <f>SUM(AB28:AB48)</f>
        <v>0</v>
      </c>
      <c r="AC50" s="665"/>
      <c r="AD50" s="496">
        <f>SUM(X50,Z50,AB50)</f>
        <v>0</v>
      </c>
      <c r="AE50" s="497"/>
      <c r="AF50" s="494">
        <f>SUM(AF28:AF48)</f>
        <v>0</v>
      </c>
      <c r="AG50" s="495"/>
      <c r="AH50" s="494">
        <f>SUM(AH28:AH48)</f>
        <v>0</v>
      </c>
      <c r="AI50" s="495"/>
      <c r="AJ50" s="494">
        <f>SUM(AJ28:AJ48)</f>
        <v>0</v>
      </c>
      <c r="AK50" s="665"/>
      <c r="AL50" s="496">
        <f>SUM(AF50,AH50,AJ50)</f>
        <v>0</v>
      </c>
      <c r="AM50" s="497"/>
      <c r="AN50" s="496">
        <f t="shared" si="15"/>
        <v>149631047.96774194</v>
      </c>
      <c r="AO50" s="493"/>
      <c r="AP50" s="71"/>
      <c r="AQ50" s="28"/>
      <c r="AR50" s="28"/>
      <c r="AS50" s="28"/>
    </row>
    <row r="51" spans="2:46" s="10" customFormat="1" ht="20" customHeight="1" thickBot="1">
      <c r="B51" s="86"/>
      <c r="C51" s="782"/>
      <c r="D51" s="1138" t="s">
        <v>607</v>
      </c>
      <c r="E51" s="1139"/>
      <c r="F51" s="1139"/>
      <c r="G51" s="1140"/>
      <c r="H51" s="494">
        <f>SUM(H28:H49)-SUM(H46:H48,H49)</f>
        <v>49767837.967741936</v>
      </c>
      <c r="I51" s="495"/>
      <c r="J51" s="494">
        <f>SUM(J28:J49)-SUM(J46:J48,J49)</f>
        <v>43517360</v>
      </c>
      <c r="K51" s="495"/>
      <c r="L51" s="494">
        <f>SUM(L28:L49)-SUM(L46:L48,L49)</f>
        <v>44841370</v>
      </c>
      <c r="M51" s="665"/>
      <c r="N51" s="496">
        <f t="shared" si="14"/>
        <v>138126567.96774194</v>
      </c>
      <c r="O51" s="497"/>
      <c r="P51" s="494">
        <f>SUM(P28:P49)-SUM(P46:P48,P49)</f>
        <v>0</v>
      </c>
      <c r="Q51" s="495"/>
      <c r="R51" s="494">
        <f>SUM(R28:R49)-SUM(R46:R48,R49)</f>
        <v>0</v>
      </c>
      <c r="S51" s="495"/>
      <c r="T51" s="494">
        <f>SUM(T28:T49)-SUM(T46:T48,T49)</f>
        <v>0</v>
      </c>
      <c r="U51" s="665"/>
      <c r="V51" s="496">
        <f>SUM(P51,R51,T51)</f>
        <v>0</v>
      </c>
      <c r="W51" s="497"/>
      <c r="X51" s="494">
        <f>SUM(X28:X49)-SUM(X46:X48,X49)</f>
        <v>0</v>
      </c>
      <c r="Y51" s="495"/>
      <c r="Z51" s="494">
        <f>SUM(Z28:Z49)-SUM(Z46:Z48,Z49)</f>
        <v>0</v>
      </c>
      <c r="AA51" s="495"/>
      <c r="AB51" s="494">
        <f>SUM(AB28:AB49)-SUM(AB46:AB48,AB49)</f>
        <v>0</v>
      </c>
      <c r="AC51" s="665"/>
      <c r="AD51" s="496">
        <f>SUM(X51,Z51,AB51)</f>
        <v>0</v>
      </c>
      <c r="AE51" s="497"/>
      <c r="AF51" s="494">
        <f>SUM(AF28:AF49)-SUM(AF46:AF48,AF49)</f>
        <v>0</v>
      </c>
      <c r="AG51" s="495"/>
      <c r="AH51" s="494">
        <f>SUM(AH28:AH49)-SUM(AH46:AH48,AH49)</f>
        <v>0</v>
      </c>
      <c r="AI51" s="495"/>
      <c r="AJ51" s="494">
        <f>SUM(AJ28:AJ49)-SUM(AJ46:AJ48,AJ49)</f>
        <v>0</v>
      </c>
      <c r="AK51" s="665"/>
      <c r="AL51" s="496">
        <f>SUM(AF51,AH51,AJ51)</f>
        <v>0</v>
      </c>
      <c r="AM51" s="497"/>
      <c r="AN51" s="496">
        <f t="shared" si="15"/>
        <v>138126567.96774194</v>
      </c>
      <c r="AO51" s="493"/>
      <c r="AP51" s="71"/>
      <c r="AQ51" s="28"/>
      <c r="AR51" s="28"/>
      <c r="AS51" s="28"/>
    </row>
    <row r="52" spans="2:46" s="10" customFormat="1" ht="18" customHeight="1">
      <c r="B52" s="86"/>
      <c r="C52" s="782"/>
      <c r="D52" s="521" t="s">
        <v>95</v>
      </c>
      <c r="E52" s="521" t="s">
        <v>95</v>
      </c>
      <c r="F52" s="520" t="s">
        <v>96</v>
      </c>
      <c r="G52" s="100" t="s">
        <v>97</v>
      </c>
      <c r="H52" s="404">
        <f>495000/1.1</f>
        <v>449999.99999999994</v>
      </c>
      <c r="I52" s="409"/>
      <c r="J52" s="404">
        <f>495000/1.1</f>
        <v>449999.99999999994</v>
      </c>
      <c r="K52" s="409"/>
      <c r="L52" s="404">
        <v>449999.99999999994</v>
      </c>
      <c r="M52" s="663"/>
      <c r="N52" s="408">
        <f>SUM(H52,J52,L52)</f>
        <v>1349999.9999999998</v>
      </c>
      <c r="O52" s="410"/>
      <c r="P52" s="404"/>
      <c r="Q52" s="409"/>
      <c r="R52" s="404"/>
      <c r="S52" s="409"/>
      <c r="T52" s="404"/>
      <c r="U52" s="663"/>
      <c r="V52" s="408">
        <f t="shared" ref="V52:V115" si="16">SUM(P52,R52,T52)</f>
        <v>0</v>
      </c>
      <c r="W52" s="410"/>
      <c r="X52" s="404"/>
      <c r="Y52" s="409"/>
      <c r="Z52" s="404"/>
      <c r="AA52" s="409"/>
      <c r="AB52" s="404"/>
      <c r="AC52" s="663"/>
      <c r="AD52" s="408">
        <f t="shared" ref="AD52:AD115" si="17">SUM(X52,Z52,AB52)</f>
        <v>0</v>
      </c>
      <c r="AE52" s="410"/>
      <c r="AF52" s="404"/>
      <c r="AG52" s="409"/>
      <c r="AH52" s="404"/>
      <c r="AI52" s="409"/>
      <c r="AJ52" s="404"/>
      <c r="AK52" s="663"/>
      <c r="AL52" s="408">
        <f t="shared" ref="AL52:AL115" si="18">SUM(AF52,AH52,AJ52)</f>
        <v>0</v>
      </c>
      <c r="AM52" s="410"/>
      <c r="AN52" s="589">
        <f t="shared" si="15"/>
        <v>1349999.9999999998</v>
      </c>
      <c r="AO52" s="40"/>
      <c r="AP52" s="28" t="s">
        <v>98</v>
      </c>
      <c r="AQ52" s="28"/>
      <c r="AR52" s="28"/>
      <c r="AS52" s="28"/>
    </row>
    <row r="53" spans="2:46" s="10" customFormat="1" ht="18" customHeight="1">
      <c r="B53" s="86"/>
      <c r="C53" s="782"/>
      <c r="D53" s="521" t="s">
        <v>95</v>
      </c>
      <c r="E53" s="521" t="s">
        <v>95</v>
      </c>
      <c r="F53" s="521" t="s">
        <v>610</v>
      </c>
      <c r="G53" s="777" t="s">
        <v>611</v>
      </c>
      <c r="H53" s="404">
        <v>0</v>
      </c>
      <c r="I53" s="409"/>
      <c r="J53" s="404">
        <v>0</v>
      </c>
      <c r="K53" s="409"/>
      <c r="L53" s="404">
        <v>1045000</v>
      </c>
      <c r="M53" s="663"/>
      <c r="N53" s="408">
        <f>SUM(H53,J53,L53)</f>
        <v>1045000</v>
      </c>
      <c r="O53" s="410"/>
      <c r="P53" s="404"/>
      <c r="Q53" s="409"/>
      <c r="R53" s="404"/>
      <c r="S53" s="409"/>
      <c r="T53" s="404"/>
      <c r="U53" s="663"/>
      <c r="V53" s="408"/>
      <c r="W53" s="410"/>
      <c r="X53" s="404"/>
      <c r="Y53" s="409"/>
      <c r="Z53" s="404"/>
      <c r="AA53" s="409"/>
      <c r="AB53" s="404"/>
      <c r="AC53" s="663"/>
      <c r="AD53" s="408"/>
      <c r="AE53" s="410"/>
      <c r="AF53" s="404"/>
      <c r="AG53" s="409"/>
      <c r="AH53" s="404"/>
      <c r="AI53" s="409"/>
      <c r="AJ53" s="404"/>
      <c r="AK53" s="663"/>
      <c r="AL53" s="408"/>
      <c r="AM53" s="410"/>
      <c r="AN53" s="589">
        <f t="shared" si="15"/>
        <v>1045000</v>
      </c>
      <c r="AO53" s="40"/>
      <c r="AP53" s="28" t="s">
        <v>98</v>
      </c>
      <c r="AQ53" s="28"/>
      <c r="AR53" s="28"/>
      <c r="AS53" s="28"/>
    </row>
    <row r="54" spans="2:46" s="10" customFormat="1" ht="18" customHeight="1">
      <c r="B54" s="86"/>
      <c r="C54" s="782"/>
      <c r="D54" s="521" t="s">
        <v>95</v>
      </c>
      <c r="E54" s="522" t="s">
        <v>99</v>
      </c>
      <c r="F54" s="498" t="s">
        <v>100</v>
      </c>
      <c r="G54" s="490" t="s">
        <v>101</v>
      </c>
      <c r="H54" s="402">
        <v>110000</v>
      </c>
      <c r="I54" s="405"/>
      <c r="J54" s="402">
        <v>220000</v>
      </c>
      <c r="K54" s="405"/>
      <c r="L54" s="402">
        <v>330000</v>
      </c>
      <c r="M54" s="662"/>
      <c r="N54" s="406">
        <f>SUM(H54,J54,L54)</f>
        <v>660000</v>
      </c>
      <c r="O54" s="407"/>
      <c r="P54" s="402"/>
      <c r="Q54" s="405"/>
      <c r="R54" s="402"/>
      <c r="S54" s="405"/>
      <c r="T54" s="402"/>
      <c r="U54" s="662"/>
      <c r="V54" s="408">
        <f t="shared" si="16"/>
        <v>0</v>
      </c>
      <c r="W54" s="407"/>
      <c r="X54" s="402"/>
      <c r="Y54" s="405"/>
      <c r="Z54" s="402"/>
      <c r="AA54" s="405"/>
      <c r="AB54" s="402"/>
      <c r="AC54" s="662"/>
      <c r="AD54" s="406">
        <f t="shared" si="17"/>
        <v>0</v>
      </c>
      <c r="AE54" s="407"/>
      <c r="AF54" s="402"/>
      <c r="AG54" s="405"/>
      <c r="AH54" s="402"/>
      <c r="AI54" s="405"/>
      <c r="AJ54" s="402"/>
      <c r="AK54" s="662"/>
      <c r="AL54" s="406">
        <f t="shared" si="18"/>
        <v>0</v>
      </c>
      <c r="AM54" s="407"/>
      <c r="AN54" s="584">
        <f t="shared" si="15"/>
        <v>660000</v>
      </c>
      <c r="AO54" s="40"/>
      <c r="AP54" s="28" t="s">
        <v>98</v>
      </c>
      <c r="AQ54" s="28"/>
      <c r="AR54" s="28"/>
      <c r="AS54" s="28"/>
    </row>
    <row r="55" spans="2:46" s="10" customFormat="1" ht="18" customHeight="1">
      <c r="B55" s="86"/>
      <c r="C55" s="782"/>
      <c r="D55" s="1141" t="s">
        <v>496</v>
      </c>
      <c r="E55" s="1142"/>
      <c r="F55" s="1142"/>
      <c r="G55" s="1143"/>
      <c r="H55" s="523">
        <f>SUM(H52:H54)</f>
        <v>560000</v>
      </c>
      <c r="I55" s="524"/>
      <c r="J55" s="523">
        <f>SUM(J52:J54)</f>
        <v>670000</v>
      </c>
      <c r="K55" s="524"/>
      <c r="L55" s="523">
        <f>SUM(L52:L54)</f>
        <v>1825000</v>
      </c>
      <c r="M55" s="666"/>
      <c r="N55" s="525">
        <f t="shared" ref="N55:N58" si="19">SUM(H55,J55,L55)</f>
        <v>3055000</v>
      </c>
      <c r="O55" s="526"/>
      <c r="P55" s="523">
        <f>SUM(P52:P54)</f>
        <v>0</v>
      </c>
      <c r="Q55" s="524"/>
      <c r="R55" s="523">
        <f>SUM(R52:R54)</f>
        <v>0</v>
      </c>
      <c r="S55" s="524"/>
      <c r="T55" s="523">
        <f>SUM(T52:T54)</f>
        <v>0</v>
      </c>
      <c r="U55" s="666"/>
      <c r="V55" s="527">
        <f t="shared" si="16"/>
        <v>0</v>
      </c>
      <c r="W55" s="526"/>
      <c r="X55" s="523">
        <f>SUM(X52:X54)</f>
        <v>0</v>
      </c>
      <c r="Y55" s="524"/>
      <c r="Z55" s="523">
        <f>SUM(Z52:Z54)</f>
        <v>0</v>
      </c>
      <c r="AA55" s="524"/>
      <c r="AB55" s="523">
        <f>SUM(AB52:AB54)</f>
        <v>0</v>
      </c>
      <c r="AC55" s="666"/>
      <c r="AD55" s="525">
        <f t="shared" si="17"/>
        <v>0</v>
      </c>
      <c r="AE55" s="526"/>
      <c r="AF55" s="523">
        <f>SUM(AF52:AF54)</f>
        <v>0</v>
      </c>
      <c r="AG55" s="524"/>
      <c r="AH55" s="523">
        <f>SUM(AH52:AH54)</f>
        <v>0</v>
      </c>
      <c r="AI55" s="524"/>
      <c r="AJ55" s="523">
        <f>SUM(AJ52:AJ54)</f>
        <v>0</v>
      </c>
      <c r="AK55" s="666"/>
      <c r="AL55" s="525">
        <f t="shared" si="18"/>
        <v>0</v>
      </c>
      <c r="AM55" s="526"/>
      <c r="AN55" s="525">
        <f t="shared" si="15"/>
        <v>3055000</v>
      </c>
      <c r="AO55" s="528"/>
      <c r="AP55" s="28"/>
      <c r="AQ55" s="28"/>
      <c r="AR55" s="28"/>
      <c r="AS55" s="28"/>
    </row>
    <row r="56" spans="2:46" s="10" customFormat="1" ht="18" customHeight="1">
      <c r="B56" s="86"/>
      <c r="C56" s="782"/>
      <c r="D56" s="103" t="s">
        <v>112</v>
      </c>
      <c r="E56" s="103" t="s">
        <v>112</v>
      </c>
      <c r="F56" s="103" t="s">
        <v>113</v>
      </c>
      <c r="G56" s="490" t="s">
        <v>114</v>
      </c>
      <c r="H56" s="403">
        <v>173900</v>
      </c>
      <c r="I56" s="405"/>
      <c r="J56" s="403">
        <v>173900</v>
      </c>
      <c r="K56" s="405"/>
      <c r="L56" s="403">
        <v>173900</v>
      </c>
      <c r="M56" s="662"/>
      <c r="N56" s="406">
        <f t="shared" si="19"/>
        <v>521700</v>
      </c>
      <c r="O56" s="407"/>
      <c r="P56" s="403"/>
      <c r="Q56" s="405"/>
      <c r="R56" s="403"/>
      <c r="S56" s="405"/>
      <c r="T56" s="403"/>
      <c r="U56" s="662"/>
      <c r="V56" s="406">
        <f t="shared" si="16"/>
        <v>0</v>
      </c>
      <c r="W56" s="407"/>
      <c r="X56" s="403"/>
      <c r="Y56" s="405"/>
      <c r="Z56" s="403"/>
      <c r="AA56" s="405"/>
      <c r="AB56" s="403"/>
      <c r="AC56" s="662"/>
      <c r="AD56" s="406">
        <f t="shared" si="17"/>
        <v>0</v>
      </c>
      <c r="AE56" s="407"/>
      <c r="AF56" s="403"/>
      <c r="AG56" s="405"/>
      <c r="AH56" s="403"/>
      <c r="AI56" s="405"/>
      <c r="AJ56" s="403"/>
      <c r="AK56" s="662"/>
      <c r="AL56" s="406">
        <f t="shared" si="18"/>
        <v>0</v>
      </c>
      <c r="AM56" s="407"/>
      <c r="AN56" s="584">
        <f t="shared" si="15"/>
        <v>521700</v>
      </c>
      <c r="AO56" s="40" t="s">
        <v>115</v>
      </c>
      <c r="AP56" s="28"/>
      <c r="AQ56" s="28"/>
      <c r="AR56" s="28"/>
      <c r="AS56" s="28"/>
    </row>
    <row r="57" spans="2:46" s="10" customFormat="1" ht="18" customHeight="1">
      <c r="B57" s="86"/>
      <c r="C57" s="782"/>
      <c r="D57" s="1144" t="s">
        <v>497</v>
      </c>
      <c r="E57" s="1145"/>
      <c r="F57" s="1145"/>
      <c r="G57" s="1146"/>
      <c r="H57" s="529">
        <f>SUM(H56)</f>
        <v>173900</v>
      </c>
      <c r="I57" s="530"/>
      <c r="J57" s="529">
        <f>SUM(J56)</f>
        <v>173900</v>
      </c>
      <c r="K57" s="530"/>
      <c r="L57" s="529">
        <f>SUM(L56)</f>
        <v>173900</v>
      </c>
      <c r="M57" s="667"/>
      <c r="N57" s="531">
        <f t="shared" si="19"/>
        <v>521700</v>
      </c>
      <c r="O57" s="532"/>
      <c r="P57" s="529">
        <f>SUM(P56)</f>
        <v>0</v>
      </c>
      <c r="Q57" s="530"/>
      <c r="R57" s="529">
        <f>SUM(R56)</f>
        <v>0</v>
      </c>
      <c r="S57" s="530"/>
      <c r="T57" s="529">
        <f>SUM(T56)</f>
        <v>0</v>
      </c>
      <c r="U57" s="667"/>
      <c r="V57" s="531">
        <f t="shared" si="16"/>
        <v>0</v>
      </c>
      <c r="W57" s="532"/>
      <c r="X57" s="529">
        <f>SUM(X56)</f>
        <v>0</v>
      </c>
      <c r="Y57" s="530"/>
      <c r="Z57" s="529">
        <f>SUM(Z56)</f>
        <v>0</v>
      </c>
      <c r="AA57" s="530"/>
      <c r="AB57" s="529">
        <f>SUM(AB56)</f>
        <v>0</v>
      </c>
      <c r="AC57" s="667"/>
      <c r="AD57" s="531">
        <f t="shared" si="17"/>
        <v>0</v>
      </c>
      <c r="AE57" s="532"/>
      <c r="AF57" s="529">
        <f>SUM(AF56)</f>
        <v>0</v>
      </c>
      <c r="AG57" s="530"/>
      <c r="AH57" s="529">
        <f>SUM(AH56)</f>
        <v>0</v>
      </c>
      <c r="AI57" s="530"/>
      <c r="AJ57" s="529">
        <f>SUM(AJ56)</f>
        <v>0</v>
      </c>
      <c r="AK57" s="667"/>
      <c r="AL57" s="531">
        <f t="shared" si="18"/>
        <v>0</v>
      </c>
      <c r="AM57" s="532"/>
      <c r="AN57" s="531">
        <f t="shared" si="15"/>
        <v>521700</v>
      </c>
      <c r="AO57" s="533"/>
      <c r="AP57" s="28"/>
      <c r="AQ57" s="28"/>
      <c r="AR57" s="28"/>
      <c r="AS57" s="28"/>
    </row>
    <row r="58" spans="2:46" s="10" customFormat="1" ht="18" customHeight="1">
      <c r="B58" s="86"/>
      <c r="C58" s="782"/>
      <c r="D58" s="483" t="s">
        <v>488</v>
      </c>
      <c r="E58" s="483" t="s">
        <v>488</v>
      </c>
      <c r="F58" s="483" t="s">
        <v>489</v>
      </c>
      <c r="G58" s="488" t="s">
        <v>489</v>
      </c>
      <c r="H58" s="403">
        <v>0</v>
      </c>
      <c r="I58" s="405"/>
      <c r="J58" s="403">
        <f>90300+90300+82560+755200+129000</f>
        <v>1147360</v>
      </c>
      <c r="K58" s="405"/>
      <c r="L58" s="403">
        <v>2595480</v>
      </c>
      <c r="M58" s="662"/>
      <c r="N58" s="406">
        <f t="shared" si="19"/>
        <v>3742840</v>
      </c>
      <c r="O58" s="407"/>
      <c r="P58" s="403"/>
      <c r="Q58" s="405"/>
      <c r="R58" s="403"/>
      <c r="S58" s="405"/>
      <c r="T58" s="403"/>
      <c r="U58" s="662"/>
      <c r="V58" s="406">
        <f t="shared" si="16"/>
        <v>0</v>
      </c>
      <c r="W58" s="407"/>
      <c r="X58" s="403"/>
      <c r="Y58" s="405"/>
      <c r="Z58" s="403"/>
      <c r="AA58" s="405"/>
      <c r="AB58" s="403"/>
      <c r="AC58" s="662"/>
      <c r="AD58" s="406">
        <f t="shared" si="17"/>
        <v>0</v>
      </c>
      <c r="AE58" s="407"/>
      <c r="AF58" s="403"/>
      <c r="AG58" s="405"/>
      <c r="AH58" s="403"/>
      <c r="AI58" s="405"/>
      <c r="AJ58" s="403"/>
      <c r="AK58" s="662"/>
      <c r="AL58" s="406">
        <f t="shared" si="18"/>
        <v>0</v>
      </c>
      <c r="AM58" s="407"/>
      <c r="AN58" s="584">
        <f t="shared" si="15"/>
        <v>3742840</v>
      </c>
      <c r="AO58" s="40"/>
      <c r="AP58" s="28"/>
      <c r="AQ58" s="28"/>
      <c r="AR58" s="28"/>
      <c r="AS58" s="28"/>
    </row>
    <row r="59" spans="2:46" s="10" customFormat="1" ht="18" customHeight="1" thickBot="1">
      <c r="B59" s="86"/>
      <c r="C59" s="783"/>
      <c r="D59" s="1135" t="s">
        <v>498</v>
      </c>
      <c r="E59" s="1136"/>
      <c r="F59" s="1136"/>
      <c r="G59" s="1137"/>
      <c r="H59" s="484">
        <f>SUM(H58)</f>
        <v>0</v>
      </c>
      <c r="I59" s="485"/>
      <c r="J59" s="484">
        <f>SUM(J58)</f>
        <v>1147360</v>
      </c>
      <c r="K59" s="485"/>
      <c r="L59" s="484">
        <f>SUM(L58)</f>
        <v>2595480</v>
      </c>
      <c r="M59" s="668"/>
      <c r="N59" s="486">
        <f>SUM(H59,J59,L59)</f>
        <v>3742840</v>
      </c>
      <c r="O59" s="487"/>
      <c r="P59" s="484">
        <f>SUM(P58)</f>
        <v>0</v>
      </c>
      <c r="Q59" s="485"/>
      <c r="R59" s="484">
        <f>SUM(R58)</f>
        <v>0</v>
      </c>
      <c r="S59" s="485"/>
      <c r="T59" s="484">
        <f>SUM(T58)</f>
        <v>0</v>
      </c>
      <c r="U59" s="668"/>
      <c r="V59" s="486">
        <f t="shared" si="16"/>
        <v>0</v>
      </c>
      <c r="W59" s="487"/>
      <c r="X59" s="484">
        <f>SUM(X58)</f>
        <v>0</v>
      </c>
      <c r="Y59" s="485"/>
      <c r="Z59" s="484">
        <f>SUM(Z58)</f>
        <v>0</v>
      </c>
      <c r="AA59" s="485"/>
      <c r="AB59" s="484">
        <f>SUM(AB58)</f>
        <v>0</v>
      </c>
      <c r="AC59" s="668"/>
      <c r="AD59" s="486">
        <f t="shared" si="17"/>
        <v>0</v>
      </c>
      <c r="AE59" s="487"/>
      <c r="AF59" s="484">
        <f>SUM(AF58)</f>
        <v>0</v>
      </c>
      <c r="AG59" s="485"/>
      <c r="AH59" s="484">
        <f>SUM(AH58)</f>
        <v>0</v>
      </c>
      <c r="AI59" s="485"/>
      <c r="AJ59" s="484">
        <f>SUM(AJ58)</f>
        <v>0</v>
      </c>
      <c r="AK59" s="668"/>
      <c r="AL59" s="486">
        <f t="shared" si="18"/>
        <v>0</v>
      </c>
      <c r="AM59" s="487"/>
      <c r="AN59" s="486">
        <f t="shared" si="15"/>
        <v>3742840</v>
      </c>
      <c r="AO59" s="492"/>
      <c r="AP59" s="28"/>
      <c r="AQ59" s="28"/>
      <c r="AR59" s="28"/>
      <c r="AS59" s="28"/>
    </row>
    <row r="60" spans="2:46" s="10" customFormat="1" ht="20" customHeight="1" thickBot="1">
      <c r="B60" s="1044" t="s">
        <v>120</v>
      </c>
      <c r="C60" s="1045"/>
      <c r="D60" s="1045"/>
      <c r="E60" s="1045"/>
      <c r="F60" s="1045"/>
      <c r="G60" s="1046"/>
      <c r="H60" s="108">
        <f>SUM(H50+H55+H57+H59)</f>
        <v>53501737.967741936</v>
      </c>
      <c r="I60" s="112">
        <f>H60/H$27</f>
        <v>0.63070138290804956</v>
      </c>
      <c r="J60" s="108">
        <f>SUM(J50+J55+J57+J59)</f>
        <v>48632460</v>
      </c>
      <c r="K60" s="112">
        <f>J60/J$27</f>
        <v>0.65931032681640866</v>
      </c>
      <c r="L60" s="109">
        <f>SUM(L50+L55+L57+L59)</f>
        <v>54816390</v>
      </c>
      <c r="M60" s="112">
        <f>L60/L$27</f>
        <v>0.53921308677848712</v>
      </c>
      <c r="N60" s="110">
        <f t="shared" ref="N60:N123" si="20">SUM(H60,J60,L60)</f>
        <v>156950587.96774194</v>
      </c>
      <c r="O60" s="111">
        <f>N60/$N$27</f>
        <v>0.60307262459809508</v>
      </c>
      <c r="P60" s="109">
        <f>SUM(P50+P55+P57+P59)</f>
        <v>0</v>
      </c>
      <c r="Q60" s="112" t="e">
        <f>P60/P$27</f>
        <v>#DIV/0!</v>
      </c>
      <c r="R60" s="109">
        <f>SUM(R50+R55+R57+R59)</f>
        <v>0</v>
      </c>
      <c r="S60" s="112" t="e">
        <f>R60/R$27</f>
        <v>#DIV/0!</v>
      </c>
      <c r="T60" s="109">
        <f>SUM(T50+T55+T57+T59)</f>
        <v>0</v>
      </c>
      <c r="U60" s="112" t="e">
        <f>T60/T$27</f>
        <v>#DIV/0!</v>
      </c>
      <c r="V60" s="110">
        <f t="shared" si="16"/>
        <v>0</v>
      </c>
      <c r="W60" s="111" t="e">
        <f>V60/$V$27</f>
        <v>#DIV/0!</v>
      </c>
      <c r="X60" s="109">
        <f>SUM(X50+X55+X57+X59)</f>
        <v>0</v>
      </c>
      <c r="Y60" s="112" t="e">
        <f>X60/X$27</f>
        <v>#DIV/0!</v>
      </c>
      <c r="Z60" s="109">
        <f>SUM(Z50+Z55+Z57+Z59)</f>
        <v>0</v>
      </c>
      <c r="AA60" s="112" t="e">
        <f>Z60/Z$27</f>
        <v>#DIV/0!</v>
      </c>
      <c r="AB60" s="109">
        <f>SUM(AB50+AB55+AB57+AB59)</f>
        <v>0</v>
      </c>
      <c r="AC60" s="112" t="e">
        <f>AB60/AB$27</f>
        <v>#DIV/0!</v>
      </c>
      <c r="AD60" s="110">
        <f t="shared" si="17"/>
        <v>0</v>
      </c>
      <c r="AE60" s="111" t="e">
        <f>AD60/$V$27</f>
        <v>#DIV/0!</v>
      </c>
      <c r="AF60" s="109">
        <f>SUM(AF50+AF55+AF57+AF59)</f>
        <v>0</v>
      </c>
      <c r="AG60" s="112" t="e">
        <f>AF60/AF$27</f>
        <v>#DIV/0!</v>
      </c>
      <c r="AH60" s="109">
        <f>SUM(AH50+AH55+AH57+AH59)</f>
        <v>0</v>
      </c>
      <c r="AI60" s="112" t="e">
        <f>AH60/AH$27</f>
        <v>#DIV/0!</v>
      </c>
      <c r="AJ60" s="109">
        <f>SUM(AJ50+AJ55+AJ57+AJ59)</f>
        <v>0</v>
      </c>
      <c r="AK60" s="112" t="e">
        <f>AJ60/AJ$27</f>
        <v>#DIV/0!</v>
      </c>
      <c r="AL60" s="110">
        <f t="shared" si="18"/>
        <v>0</v>
      </c>
      <c r="AM60" s="111" t="e">
        <f>AL60/$V$27</f>
        <v>#DIV/0!</v>
      </c>
      <c r="AN60" s="110">
        <f t="shared" si="15"/>
        <v>156950587.96774194</v>
      </c>
      <c r="AO60" s="113">
        <f>AN60/AN$27</f>
        <v>0.60307262459809508</v>
      </c>
      <c r="AP60" s="4" t="s">
        <v>121</v>
      </c>
      <c r="AQ60" s="28"/>
      <c r="AR60" s="28"/>
      <c r="AS60" s="28"/>
      <c r="AT60" s="28"/>
    </row>
    <row r="61" spans="2:46" s="10" customFormat="1" ht="20" customHeight="1" thickBot="1">
      <c r="B61" s="1044" t="s">
        <v>608</v>
      </c>
      <c r="C61" s="1045"/>
      <c r="D61" s="1045"/>
      <c r="E61" s="1045"/>
      <c r="F61" s="1045"/>
      <c r="G61" s="1046"/>
      <c r="H61" s="108">
        <f>SUM(H51+H55+H57+H59)</f>
        <v>50501737.967741936</v>
      </c>
      <c r="I61" s="112">
        <f>H61/H$27</f>
        <v>0.59533609907624274</v>
      </c>
      <c r="J61" s="108">
        <f>SUM(J51+J55+J57+J59)</f>
        <v>45508620</v>
      </c>
      <c r="K61" s="112">
        <f>J61/J$27</f>
        <v>0.61696042365867876</v>
      </c>
      <c r="L61" s="109">
        <f>SUM(L51+L55+L57+L59)</f>
        <v>49435750</v>
      </c>
      <c r="M61" s="112">
        <f>L61/L$27</f>
        <v>0.48628527625970247</v>
      </c>
      <c r="N61" s="110">
        <f t="shared" si="20"/>
        <v>145446107.96774194</v>
      </c>
      <c r="O61" s="111">
        <f>N61/$N$27</f>
        <v>0.55886739390687745</v>
      </c>
      <c r="P61" s="109">
        <f>SUM(P51+P55+P57+P59)</f>
        <v>0</v>
      </c>
      <c r="Q61" s="112" t="e">
        <f>P61/P$27</f>
        <v>#DIV/0!</v>
      </c>
      <c r="R61" s="109">
        <f>SUM(R51+R55+R57+R59)</f>
        <v>0</v>
      </c>
      <c r="S61" s="112" t="e">
        <f>R61/R$27</f>
        <v>#DIV/0!</v>
      </c>
      <c r="T61" s="109">
        <f>SUM(T51+T55+T57+T59)</f>
        <v>0</v>
      </c>
      <c r="U61" s="112" t="e">
        <f>T61/T$27</f>
        <v>#DIV/0!</v>
      </c>
      <c r="V61" s="110">
        <f t="shared" si="16"/>
        <v>0</v>
      </c>
      <c r="W61" s="111" t="e">
        <f>V61/$V$27</f>
        <v>#DIV/0!</v>
      </c>
      <c r="X61" s="109">
        <f>SUM(X51+X55+X57+X59)</f>
        <v>0</v>
      </c>
      <c r="Y61" s="112" t="e">
        <f>X61/X$27</f>
        <v>#DIV/0!</v>
      </c>
      <c r="Z61" s="109">
        <f>SUM(Z51+Z55+Z57+Z59)</f>
        <v>0</v>
      </c>
      <c r="AA61" s="112" t="e">
        <f>Z61/Z$27</f>
        <v>#DIV/0!</v>
      </c>
      <c r="AB61" s="109">
        <f>SUM(AB51+AB55+AB57+AB59)</f>
        <v>0</v>
      </c>
      <c r="AC61" s="112" t="e">
        <f>AB61/AB$27</f>
        <v>#DIV/0!</v>
      </c>
      <c r="AD61" s="110">
        <f t="shared" si="17"/>
        <v>0</v>
      </c>
      <c r="AE61" s="111" t="e">
        <f>AD61/$V$27</f>
        <v>#DIV/0!</v>
      </c>
      <c r="AF61" s="109">
        <f>SUM(AF51+AF55+AF57+AF59)</f>
        <v>0</v>
      </c>
      <c r="AG61" s="112" t="e">
        <f>AF61/AF$27</f>
        <v>#DIV/0!</v>
      </c>
      <c r="AH61" s="109">
        <f>SUM(AH51+AH55+AH57+AH59)</f>
        <v>0</v>
      </c>
      <c r="AI61" s="112" t="e">
        <f>AH61/AH$27</f>
        <v>#DIV/0!</v>
      </c>
      <c r="AJ61" s="109">
        <f>SUM(AJ51+AJ55+AJ57+AJ59)</f>
        <v>0</v>
      </c>
      <c r="AK61" s="112" t="e">
        <f>AJ61/AJ$27</f>
        <v>#DIV/0!</v>
      </c>
      <c r="AL61" s="110">
        <f t="shared" si="18"/>
        <v>0</v>
      </c>
      <c r="AM61" s="111" t="e">
        <f>AL61/$V$27</f>
        <v>#DIV/0!</v>
      </c>
      <c r="AN61" s="110">
        <f t="shared" si="15"/>
        <v>145446107.96774194</v>
      </c>
      <c r="AO61" s="113">
        <f>AN61/AN$27</f>
        <v>0.55886739390687745</v>
      </c>
      <c r="AP61" s="4" t="s">
        <v>121</v>
      </c>
      <c r="AQ61" s="28"/>
      <c r="AR61" s="28"/>
      <c r="AS61" s="28"/>
      <c r="AT61" s="28"/>
    </row>
    <row r="62" spans="2:46" s="10" customFormat="1" ht="18" customHeight="1">
      <c r="B62" s="114"/>
      <c r="C62" s="1103" t="s">
        <v>59</v>
      </c>
      <c r="D62" s="1133" t="s">
        <v>122</v>
      </c>
      <c r="E62" s="1134" t="s">
        <v>123</v>
      </c>
      <c r="F62" s="78" t="s">
        <v>64</v>
      </c>
      <c r="G62" s="100" t="s">
        <v>487</v>
      </c>
      <c r="H62" s="479">
        <v>526169.66666666663</v>
      </c>
      <c r="I62" s="480"/>
      <c r="J62" s="479">
        <v>526169.66666666663</v>
      </c>
      <c r="K62" s="480"/>
      <c r="L62" s="479">
        <v>526169.66666666663</v>
      </c>
      <c r="M62" s="670"/>
      <c r="N62" s="408">
        <f t="shared" si="20"/>
        <v>1578509</v>
      </c>
      <c r="O62" s="481"/>
      <c r="P62" s="479"/>
      <c r="Q62" s="480"/>
      <c r="R62" s="479"/>
      <c r="S62" s="480"/>
      <c r="T62" s="479"/>
      <c r="U62" s="670"/>
      <c r="V62" s="408">
        <f t="shared" si="16"/>
        <v>0</v>
      </c>
      <c r="W62" s="481"/>
      <c r="X62" s="479"/>
      <c r="Y62" s="480"/>
      <c r="Z62" s="479"/>
      <c r="AA62" s="480"/>
      <c r="AB62" s="479"/>
      <c r="AC62" s="670"/>
      <c r="AD62" s="408">
        <f t="shared" si="17"/>
        <v>0</v>
      </c>
      <c r="AE62" s="481"/>
      <c r="AF62" s="479"/>
      <c r="AG62" s="480"/>
      <c r="AH62" s="479"/>
      <c r="AI62" s="480"/>
      <c r="AJ62" s="479"/>
      <c r="AK62" s="670"/>
      <c r="AL62" s="408">
        <f t="shared" si="18"/>
        <v>0</v>
      </c>
      <c r="AM62" s="481"/>
      <c r="AN62" s="589">
        <f t="shared" si="15"/>
        <v>1578509</v>
      </c>
      <c r="AO62" s="482"/>
      <c r="AP62" s="71"/>
      <c r="AQ62" s="28"/>
      <c r="AR62" s="28"/>
      <c r="AS62" s="28"/>
      <c r="AT62" s="28"/>
    </row>
    <row r="63" spans="2:46" s="10" customFormat="1" ht="18" customHeight="1">
      <c r="B63" s="86"/>
      <c r="C63" s="1112"/>
      <c r="D63" s="1119"/>
      <c r="E63" s="1122"/>
      <c r="F63" s="104" t="s">
        <v>66</v>
      </c>
      <c r="G63" s="100" t="s">
        <v>487</v>
      </c>
      <c r="H63" s="95">
        <v>798611.08333333337</v>
      </c>
      <c r="I63" s="480"/>
      <c r="J63" s="95">
        <v>798611.08333333337</v>
      </c>
      <c r="K63" s="480"/>
      <c r="L63" s="95">
        <v>798611.08333333337</v>
      </c>
      <c r="M63" s="670"/>
      <c r="N63" s="406">
        <f t="shared" si="20"/>
        <v>2395833.25</v>
      </c>
      <c r="O63" s="481"/>
      <c r="P63" s="95"/>
      <c r="Q63" s="480"/>
      <c r="R63" s="95"/>
      <c r="S63" s="480"/>
      <c r="T63" s="95"/>
      <c r="U63" s="670"/>
      <c r="V63" s="408">
        <f t="shared" si="16"/>
        <v>0</v>
      </c>
      <c r="W63" s="481"/>
      <c r="X63" s="95"/>
      <c r="Y63" s="480"/>
      <c r="Z63" s="95"/>
      <c r="AA63" s="480"/>
      <c r="AB63" s="95"/>
      <c r="AC63" s="670"/>
      <c r="AD63" s="406">
        <f t="shared" si="17"/>
        <v>0</v>
      </c>
      <c r="AE63" s="481"/>
      <c r="AF63" s="95"/>
      <c r="AG63" s="480"/>
      <c r="AH63" s="95"/>
      <c r="AI63" s="480"/>
      <c r="AJ63" s="95"/>
      <c r="AK63" s="670"/>
      <c r="AL63" s="406">
        <f t="shared" si="18"/>
        <v>0</v>
      </c>
      <c r="AM63" s="481"/>
      <c r="AN63" s="589">
        <f t="shared" si="15"/>
        <v>2395833.25</v>
      </c>
      <c r="AO63" s="482"/>
      <c r="AP63" s="71"/>
      <c r="AQ63" s="28"/>
      <c r="AR63" s="28"/>
      <c r="AS63" s="28"/>
      <c r="AT63" s="28"/>
    </row>
    <row r="64" spans="2:46" s="10" customFormat="1" ht="18" customHeight="1">
      <c r="B64" s="86"/>
      <c r="C64" s="1112"/>
      <c r="D64" s="1119"/>
      <c r="E64" s="1122"/>
      <c r="F64" s="104" t="s">
        <v>72</v>
      </c>
      <c r="G64" s="100" t="s">
        <v>487</v>
      </c>
      <c r="H64" s="30">
        <v>492265.25</v>
      </c>
      <c r="I64" s="116"/>
      <c r="J64" s="30">
        <v>492265.25</v>
      </c>
      <c r="K64" s="116"/>
      <c r="L64" s="30">
        <v>492265.25</v>
      </c>
      <c r="M64" s="671"/>
      <c r="N64" s="89">
        <f t="shared" si="20"/>
        <v>1476795.75</v>
      </c>
      <c r="O64" s="115"/>
      <c r="P64" s="30"/>
      <c r="Q64" s="116"/>
      <c r="R64" s="30"/>
      <c r="S64" s="116"/>
      <c r="T64" s="30"/>
      <c r="U64" s="671"/>
      <c r="V64" s="101">
        <f t="shared" si="16"/>
        <v>0</v>
      </c>
      <c r="W64" s="115"/>
      <c r="X64" s="30"/>
      <c r="Y64" s="116"/>
      <c r="Z64" s="30"/>
      <c r="AA64" s="116"/>
      <c r="AB64" s="30"/>
      <c r="AC64" s="671"/>
      <c r="AD64" s="89">
        <f t="shared" si="17"/>
        <v>0</v>
      </c>
      <c r="AE64" s="115"/>
      <c r="AF64" s="30"/>
      <c r="AG64" s="116"/>
      <c r="AH64" s="30"/>
      <c r="AI64" s="116"/>
      <c r="AJ64" s="30"/>
      <c r="AK64" s="671"/>
      <c r="AL64" s="89">
        <f t="shared" si="18"/>
        <v>0</v>
      </c>
      <c r="AM64" s="115"/>
      <c r="AN64" s="585">
        <f t="shared" si="15"/>
        <v>1476795.75</v>
      </c>
      <c r="AO64" s="117"/>
      <c r="AP64" s="71"/>
      <c r="AQ64" s="28"/>
      <c r="AR64" s="28"/>
      <c r="AS64" s="28"/>
      <c r="AT64" s="28"/>
    </row>
    <row r="65" spans="1:46" s="10" customFormat="1" ht="18" customHeight="1">
      <c r="B65" s="86"/>
      <c r="C65" s="1112"/>
      <c r="D65" s="1119"/>
      <c r="E65" s="1122"/>
      <c r="F65" s="104" t="s">
        <v>124</v>
      </c>
      <c r="G65" s="100" t="s">
        <v>487</v>
      </c>
      <c r="H65" s="30">
        <v>462962.16666666669</v>
      </c>
      <c r="I65" s="116"/>
      <c r="J65" s="30">
        <v>462962.16666666669</v>
      </c>
      <c r="K65" s="116"/>
      <c r="L65" s="30">
        <v>462962.16666666669</v>
      </c>
      <c r="M65" s="671"/>
      <c r="N65" s="89">
        <f t="shared" si="20"/>
        <v>1388886.5</v>
      </c>
      <c r="O65" s="115"/>
      <c r="P65" s="30"/>
      <c r="Q65" s="116"/>
      <c r="R65" s="30"/>
      <c r="S65" s="116"/>
      <c r="T65" s="30"/>
      <c r="U65" s="671"/>
      <c r="V65" s="101">
        <f t="shared" si="16"/>
        <v>0</v>
      </c>
      <c r="W65" s="115"/>
      <c r="X65" s="30"/>
      <c r="Y65" s="116"/>
      <c r="Z65" s="30"/>
      <c r="AA65" s="116"/>
      <c r="AB65" s="30"/>
      <c r="AC65" s="671"/>
      <c r="AD65" s="89">
        <f t="shared" si="17"/>
        <v>0</v>
      </c>
      <c r="AE65" s="115"/>
      <c r="AF65" s="30"/>
      <c r="AG65" s="116"/>
      <c r="AH65" s="30"/>
      <c r="AI65" s="116"/>
      <c r="AJ65" s="30"/>
      <c r="AK65" s="671"/>
      <c r="AL65" s="89">
        <f t="shared" si="18"/>
        <v>0</v>
      </c>
      <c r="AM65" s="115"/>
      <c r="AN65" s="585">
        <f t="shared" si="15"/>
        <v>1388886.5</v>
      </c>
      <c r="AO65" s="117"/>
      <c r="AP65" s="71"/>
      <c r="AQ65" s="28"/>
      <c r="AR65" s="28"/>
      <c r="AS65" s="28"/>
      <c r="AT65" s="28"/>
    </row>
    <row r="66" spans="1:46" s="10" customFormat="1" ht="18" customHeight="1" thickBot="1">
      <c r="B66" s="86"/>
      <c r="C66" s="1112"/>
      <c r="D66" s="1119"/>
      <c r="E66" s="1122"/>
      <c r="F66" s="104" t="s">
        <v>125</v>
      </c>
      <c r="G66" s="100" t="s">
        <v>487</v>
      </c>
      <c r="H66" s="30">
        <v>226980.91666666666</v>
      </c>
      <c r="I66" s="116"/>
      <c r="J66" s="30">
        <v>226980.91666666666</v>
      </c>
      <c r="K66" s="116"/>
      <c r="L66" s="30">
        <v>226980.91666666666</v>
      </c>
      <c r="M66" s="671"/>
      <c r="N66" s="89">
        <f t="shared" si="20"/>
        <v>680942.75</v>
      </c>
      <c r="O66" s="115"/>
      <c r="P66" s="30"/>
      <c r="Q66" s="116"/>
      <c r="R66" s="30"/>
      <c r="S66" s="116"/>
      <c r="T66" s="30"/>
      <c r="U66" s="671"/>
      <c r="V66" s="101">
        <f t="shared" si="16"/>
        <v>0</v>
      </c>
      <c r="W66" s="115"/>
      <c r="X66" s="30"/>
      <c r="Y66" s="116"/>
      <c r="Z66" s="30"/>
      <c r="AA66" s="116"/>
      <c r="AB66" s="30"/>
      <c r="AC66" s="671"/>
      <c r="AD66" s="89">
        <f t="shared" si="17"/>
        <v>0</v>
      </c>
      <c r="AE66" s="115"/>
      <c r="AF66" s="30"/>
      <c r="AG66" s="116"/>
      <c r="AH66" s="30"/>
      <c r="AI66" s="116"/>
      <c r="AJ66" s="30"/>
      <c r="AK66" s="671"/>
      <c r="AL66" s="89">
        <f t="shared" si="18"/>
        <v>0</v>
      </c>
      <c r="AM66" s="115"/>
      <c r="AN66" s="585">
        <f t="shared" si="15"/>
        <v>680942.75</v>
      </c>
      <c r="AO66" s="117"/>
      <c r="AP66" s="71"/>
      <c r="AQ66" s="28"/>
      <c r="AR66" s="28"/>
      <c r="AS66" s="28"/>
      <c r="AT66" s="28"/>
    </row>
    <row r="67" spans="1:46" s="10" customFormat="1" ht="18" hidden="1" customHeight="1" thickBot="1">
      <c r="B67" s="86"/>
      <c r="C67" s="118"/>
      <c r="D67" s="119"/>
      <c r="E67" s="99"/>
      <c r="F67" s="104"/>
      <c r="G67" s="100"/>
      <c r="H67" s="35"/>
      <c r="I67" s="116"/>
      <c r="J67" s="35"/>
      <c r="K67" s="116"/>
      <c r="L67" s="35"/>
      <c r="M67" s="671"/>
      <c r="N67" s="89">
        <f t="shared" si="20"/>
        <v>0</v>
      </c>
      <c r="O67" s="115"/>
      <c r="P67" s="35"/>
      <c r="Q67" s="116"/>
      <c r="R67" s="35"/>
      <c r="S67" s="116"/>
      <c r="T67" s="35"/>
      <c r="U67" s="671"/>
      <c r="V67" s="101">
        <f t="shared" si="16"/>
        <v>0</v>
      </c>
      <c r="W67" s="115"/>
      <c r="X67" s="35"/>
      <c r="Y67" s="116"/>
      <c r="Z67" s="35"/>
      <c r="AA67" s="116"/>
      <c r="AB67" s="35"/>
      <c r="AC67" s="671"/>
      <c r="AD67" s="89">
        <f t="shared" si="17"/>
        <v>0</v>
      </c>
      <c r="AE67" s="115"/>
      <c r="AF67" s="35"/>
      <c r="AG67" s="116"/>
      <c r="AH67" s="35"/>
      <c r="AI67" s="116"/>
      <c r="AJ67" s="35"/>
      <c r="AK67" s="671"/>
      <c r="AL67" s="89">
        <f t="shared" si="18"/>
        <v>0</v>
      </c>
      <c r="AM67" s="115"/>
      <c r="AN67" s="65">
        <f t="shared" si="15"/>
        <v>0</v>
      </c>
      <c r="AO67" s="117"/>
      <c r="AP67" s="71"/>
      <c r="AQ67" s="28"/>
      <c r="AR67" s="28"/>
      <c r="AS67" s="28"/>
      <c r="AT67" s="28"/>
    </row>
    <row r="68" spans="1:46" s="10" customFormat="1" ht="20" customHeight="1" thickBot="1">
      <c r="B68" s="1044" t="s">
        <v>126</v>
      </c>
      <c r="C68" s="1045"/>
      <c r="D68" s="1045"/>
      <c r="E68" s="1045"/>
      <c r="F68" s="1045"/>
      <c r="G68" s="1046"/>
      <c r="H68" s="108">
        <f>SUM(H62:H66)</f>
        <v>2506989.083333333</v>
      </c>
      <c r="I68" s="112">
        <f>H68/H27</f>
        <v>2.9553460165108167E-2</v>
      </c>
      <c r="J68" s="108">
        <f>SUM(J62:J66)</f>
        <v>2506989.083333333</v>
      </c>
      <c r="K68" s="112">
        <f>J68/J27</f>
        <v>3.3987254435775376E-2</v>
      </c>
      <c r="L68" s="108">
        <f>SUM(L62:L66)</f>
        <v>2506989.083333333</v>
      </c>
      <c r="M68" s="669">
        <f>L68/L27</f>
        <v>2.4660531679377942E-2</v>
      </c>
      <c r="N68" s="110">
        <f t="shared" si="20"/>
        <v>7520967.2499999991</v>
      </c>
      <c r="O68" s="111">
        <f>N68/N27</f>
        <v>2.8898837001528392E-2</v>
      </c>
      <c r="P68" s="108">
        <f>SUM(P62:P66)</f>
        <v>0</v>
      </c>
      <c r="Q68" s="112" t="e">
        <f>P68/P27</f>
        <v>#DIV/0!</v>
      </c>
      <c r="R68" s="108">
        <f>SUM(R62:R66)</f>
        <v>0</v>
      </c>
      <c r="S68" s="112" t="e">
        <f>R68/R27</f>
        <v>#DIV/0!</v>
      </c>
      <c r="T68" s="108">
        <f>SUM(T62:T66)</f>
        <v>0</v>
      </c>
      <c r="U68" s="669" t="e">
        <f>T68/T27</f>
        <v>#DIV/0!</v>
      </c>
      <c r="V68" s="110">
        <f t="shared" si="16"/>
        <v>0</v>
      </c>
      <c r="W68" s="111" t="e">
        <f>V68/V27</f>
        <v>#DIV/0!</v>
      </c>
      <c r="X68" s="108">
        <f>SUM(X62:X66)</f>
        <v>0</v>
      </c>
      <c r="Y68" s="112" t="e">
        <f>X68/X27</f>
        <v>#DIV/0!</v>
      </c>
      <c r="Z68" s="108">
        <f>SUM(Z62:Z66)</f>
        <v>0</v>
      </c>
      <c r="AA68" s="112" t="e">
        <f>Z68/Z27</f>
        <v>#DIV/0!</v>
      </c>
      <c r="AB68" s="108">
        <f>SUM(AB62:AB66)</f>
        <v>0</v>
      </c>
      <c r="AC68" s="669" t="e">
        <f>AB68/AB27</f>
        <v>#DIV/0!</v>
      </c>
      <c r="AD68" s="110">
        <f t="shared" si="17"/>
        <v>0</v>
      </c>
      <c r="AE68" s="111" t="e">
        <f>AD68/AD27</f>
        <v>#DIV/0!</v>
      </c>
      <c r="AF68" s="108">
        <f>SUM(AF62:AF66)</f>
        <v>0</v>
      </c>
      <c r="AG68" s="112" t="e">
        <f>AF68/AF27</f>
        <v>#DIV/0!</v>
      </c>
      <c r="AH68" s="108">
        <f>SUM(AH62:AH66)</f>
        <v>0</v>
      </c>
      <c r="AI68" s="112" t="e">
        <f>AH68/AH27</f>
        <v>#DIV/0!</v>
      </c>
      <c r="AJ68" s="108">
        <f>SUM(AJ62:AJ66)</f>
        <v>0</v>
      </c>
      <c r="AK68" s="669" t="e">
        <f>AJ68/AJ27</f>
        <v>#DIV/0!</v>
      </c>
      <c r="AL68" s="704">
        <f t="shared" si="18"/>
        <v>0</v>
      </c>
      <c r="AM68" s="111" t="e">
        <f>AL68/AL27</f>
        <v>#DIV/0!</v>
      </c>
      <c r="AN68" s="110">
        <f t="shared" si="15"/>
        <v>7520967.2499999991</v>
      </c>
      <c r="AO68" s="113">
        <f>AN68/AN27</f>
        <v>2.8898837001528392E-2</v>
      </c>
      <c r="AP68" s="4"/>
      <c r="AQ68" s="28"/>
      <c r="AR68" s="28"/>
      <c r="AS68" s="28"/>
      <c r="AT68" s="28"/>
    </row>
    <row r="69" spans="1:46" s="10" customFormat="1" ht="20" customHeight="1" thickBot="1">
      <c r="B69" s="1150" t="s">
        <v>603</v>
      </c>
      <c r="C69" s="1151"/>
      <c r="D69" s="1151"/>
      <c r="E69" s="1151"/>
      <c r="F69" s="1151"/>
      <c r="G69" s="1152"/>
      <c r="H69" s="121">
        <f>H60+H68</f>
        <v>56008727.051075272</v>
      </c>
      <c r="I69" s="125">
        <f>H69/H$27</f>
        <v>0.66025484307315774</v>
      </c>
      <c r="J69" s="121">
        <f>J60+J68</f>
        <v>51139449.083333336</v>
      </c>
      <c r="K69" s="125">
        <f>J69/J$27</f>
        <v>0.69329758125218399</v>
      </c>
      <c r="L69" s="121">
        <f>L60+L68</f>
        <v>57323379.083333336</v>
      </c>
      <c r="M69" s="125">
        <f>L69/L$27</f>
        <v>0.56387361845786499</v>
      </c>
      <c r="N69" s="123">
        <f t="shared" si="20"/>
        <v>164471555.21774194</v>
      </c>
      <c r="O69" s="124">
        <f>N69/N$27</f>
        <v>0.63197146159962347</v>
      </c>
      <c r="P69" s="121">
        <f>P60+P68</f>
        <v>0</v>
      </c>
      <c r="Q69" s="125" t="e">
        <f>P69/P$27</f>
        <v>#DIV/0!</v>
      </c>
      <c r="R69" s="121">
        <f>R60+R68</f>
        <v>0</v>
      </c>
      <c r="S69" s="125" t="e">
        <f>R69/R$27</f>
        <v>#DIV/0!</v>
      </c>
      <c r="T69" s="121">
        <f>T60+T68</f>
        <v>0</v>
      </c>
      <c r="U69" s="125" t="e">
        <f>T69/T$27</f>
        <v>#DIV/0!</v>
      </c>
      <c r="V69" s="123">
        <f t="shared" si="16"/>
        <v>0</v>
      </c>
      <c r="W69" s="124" t="e">
        <f>V69/V$27</f>
        <v>#DIV/0!</v>
      </c>
      <c r="X69" s="121">
        <f>X60+X68</f>
        <v>0</v>
      </c>
      <c r="Y69" s="125" t="e">
        <f>X69/X$27</f>
        <v>#DIV/0!</v>
      </c>
      <c r="Z69" s="121">
        <f>Z60+Z68</f>
        <v>0</v>
      </c>
      <c r="AA69" s="125" t="e">
        <f>Z69/Z$27</f>
        <v>#DIV/0!</v>
      </c>
      <c r="AB69" s="121">
        <f>AB60+AB68</f>
        <v>0</v>
      </c>
      <c r="AC69" s="125" t="e">
        <f>AB69/AB$27</f>
        <v>#DIV/0!</v>
      </c>
      <c r="AD69" s="123">
        <f t="shared" si="17"/>
        <v>0</v>
      </c>
      <c r="AE69" s="124" t="e">
        <f>AD69/AD$27</f>
        <v>#DIV/0!</v>
      </c>
      <c r="AF69" s="121">
        <f>AF60+AF68</f>
        <v>0</v>
      </c>
      <c r="AG69" s="125" t="e">
        <f>AF69/AF$27</f>
        <v>#DIV/0!</v>
      </c>
      <c r="AH69" s="121">
        <f>AH60+AH68</f>
        <v>0</v>
      </c>
      <c r="AI69" s="125" t="e">
        <f>AH69/AH$27</f>
        <v>#DIV/0!</v>
      </c>
      <c r="AJ69" s="121">
        <f>AJ60+AJ68</f>
        <v>0</v>
      </c>
      <c r="AK69" s="125" t="e">
        <f>AJ69/AJ$27</f>
        <v>#DIV/0!</v>
      </c>
      <c r="AL69" s="123">
        <f t="shared" si="18"/>
        <v>0</v>
      </c>
      <c r="AM69" s="124" t="e">
        <f>AL69/AL$27</f>
        <v>#DIV/0!</v>
      </c>
      <c r="AN69" s="123">
        <f t="shared" si="15"/>
        <v>164471555.21774194</v>
      </c>
      <c r="AO69" s="126">
        <f>AN69/AN$27</f>
        <v>0.63197146159962347</v>
      </c>
      <c r="AP69" s="4" t="s">
        <v>127</v>
      </c>
      <c r="AQ69" s="28"/>
      <c r="AR69" s="28"/>
      <c r="AS69" s="28"/>
      <c r="AT69" s="28"/>
    </row>
    <row r="70" spans="1:46" s="10" customFormat="1" ht="20" customHeight="1" thickBot="1">
      <c r="B70" s="1150" t="s">
        <v>604</v>
      </c>
      <c r="C70" s="1151"/>
      <c r="D70" s="1151"/>
      <c r="E70" s="1151"/>
      <c r="F70" s="1151"/>
      <c r="G70" s="1152"/>
      <c r="H70" s="121">
        <f>H61+H68-H55</f>
        <v>52448727.051075272</v>
      </c>
      <c r="I70" s="125">
        <f>H70/H27</f>
        <v>0.61828803959274703</v>
      </c>
      <c r="J70" s="121">
        <f>J61+J68-J55</f>
        <v>47345609.083333336</v>
      </c>
      <c r="K70" s="125">
        <f>J70/J27</f>
        <v>0.64186448717696831</v>
      </c>
      <c r="L70" s="122">
        <f>L61+L68-L55</f>
        <v>50117739.083333336</v>
      </c>
      <c r="M70" s="672">
        <f>L70/L27</f>
        <v>0.49299380702528917</v>
      </c>
      <c r="N70" s="123">
        <f t="shared" si="20"/>
        <v>149912075.21774194</v>
      </c>
      <c r="O70" s="124">
        <f>N70/N$27</f>
        <v>0.57602758824383771</v>
      </c>
      <c r="P70" s="122">
        <f>P61+P68-P55</f>
        <v>0</v>
      </c>
      <c r="Q70" s="125" t="e">
        <f>P70/P27</f>
        <v>#DIV/0!</v>
      </c>
      <c r="R70" s="122">
        <f>R61+R68-R55</f>
        <v>0</v>
      </c>
      <c r="S70" s="125" t="e">
        <f>R70/R27</f>
        <v>#DIV/0!</v>
      </c>
      <c r="T70" s="122">
        <f>T61+T68-T55</f>
        <v>0</v>
      </c>
      <c r="U70" s="672" t="e">
        <f>T70/T27</f>
        <v>#DIV/0!</v>
      </c>
      <c r="V70" s="123">
        <f t="shared" si="16"/>
        <v>0</v>
      </c>
      <c r="W70" s="124" t="e">
        <f>V70/V$27</f>
        <v>#DIV/0!</v>
      </c>
      <c r="X70" s="122">
        <f>X61+X68-X55</f>
        <v>0</v>
      </c>
      <c r="Y70" s="125" t="e">
        <f>X70/X27</f>
        <v>#DIV/0!</v>
      </c>
      <c r="Z70" s="122">
        <f>Z61+Z68-Z55</f>
        <v>0</v>
      </c>
      <c r="AA70" s="125" t="e">
        <f>Z70/Z27</f>
        <v>#DIV/0!</v>
      </c>
      <c r="AB70" s="122">
        <f>AB61+AB68-AB55</f>
        <v>0</v>
      </c>
      <c r="AC70" s="672" t="e">
        <f>AB70/AB27</f>
        <v>#DIV/0!</v>
      </c>
      <c r="AD70" s="123">
        <f t="shared" si="17"/>
        <v>0</v>
      </c>
      <c r="AE70" s="124" t="e">
        <f>AD70/AD$27</f>
        <v>#DIV/0!</v>
      </c>
      <c r="AF70" s="122">
        <f>AF61+AF68-AF55</f>
        <v>0</v>
      </c>
      <c r="AG70" s="125" t="e">
        <f>AF70/AF27</f>
        <v>#DIV/0!</v>
      </c>
      <c r="AH70" s="122">
        <f>AH61+AH68-AH55</f>
        <v>0</v>
      </c>
      <c r="AI70" s="125" t="e">
        <f>AH70/AH27</f>
        <v>#DIV/0!</v>
      </c>
      <c r="AJ70" s="122">
        <f>AJ61+AJ68-AJ55</f>
        <v>0</v>
      </c>
      <c r="AK70" s="672" t="e">
        <f>AJ70/AJ27</f>
        <v>#DIV/0!</v>
      </c>
      <c r="AL70" s="123">
        <f t="shared" si="18"/>
        <v>0</v>
      </c>
      <c r="AM70" s="124" t="e">
        <f>AL70/AL$27</f>
        <v>#DIV/0!</v>
      </c>
      <c r="AN70" s="123">
        <f t="shared" si="15"/>
        <v>149912075.21774194</v>
      </c>
      <c r="AO70" s="126">
        <f>AN70/AN$27</f>
        <v>0.57602758824383771</v>
      </c>
      <c r="AP70" s="4" t="s">
        <v>127</v>
      </c>
      <c r="AQ70" s="28"/>
      <c r="AR70" s="28"/>
      <c r="AS70" s="28"/>
      <c r="AT70" s="28"/>
    </row>
    <row r="71" spans="1:46" s="85" customFormat="1" ht="20" customHeight="1" thickBot="1">
      <c r="B71" s="1047" t="s">
        <v>518</v>
      </c>
      <c r="C71" s="1048"/>
      <c r="D71" s="1048"/>
      <c r="E71" s="1048"/>
      <c r="F71" s="1048"/>
      <c r="G71" s="1049"/>
      <c r="H71" s="127">
        <f>H27-H70</f>
        <v>32380225.948924728</v>
      </c>
      <c r="I71" s="673">
        <f>H71/H$27</f>
        <v>0.38171196040725303</v>
      </c>
      <c r="J71" s="127">
        <f>J27-J70</f>
        <v>26417015.31666667</v>
      </c>
      <c r="K71" s="673">
        <f>J71/J$27</f>
        <v>0.35813551282303169</v>
      </c>
      <c r="L71" s="129">
        <f>L27-L70</f>
        <v>51542237.916666664</v>
      </c>
      <c r="M71" s="673">
        <f>L71/L$27</f>
        <v>0.50700619297471083</v>
      </c>
      <c r="N71" s="130">
        <f t="shared" si="20"/>
        <v>110339479.18225807</v>
      </c>
      <c r="O71" s="673">
        <f>N71/N$27</f>
        <v>0.42397241175616229</v>
      </c>
      <c r="P71" s="129">
        <f>P27-P70</f>
        <v>0</v>
      </c>
      <c r="Q71" s="673" t="e">
        <f>P71/P$27</f>
        <v>#DIV/0!</v>
      </c>
      <c r="R71" s="129">
        <f>R27-R70</f>
        <v>0</v>
      </c>
      <c r="S71" s="673" t="e">
        <f>R71/R$27</f>
        <v>#DIV/0!</v>
      </c>
      <c r="T71" s="129">
        <f>T27-T70</f>
        <v>0</v>
      </c>
      <c r="U71" s="673" t="e">
        <f>T71/T27</f>
        <v>#DIV/0!</v>
      </c>
      <c r="V71" s="130">
        <f t="shared" si="16"/>
        <v>0</v>
      </c>
      <c r="W71" s="673" t="e">
        <f>V71/V$27</f>
        <v>#DIV/0!</v>
      </c>
      <c r="X71" s="129">
        <f>X27-X70</f>
        <v>0</v>
      </c>
      <c r="Y71" s="673" t="e">
        <f>X71/X$27</f>
        <v>#DIV/0!</v>
      </c>
      <c r="Z71" s="129">
        <f>Z27-Z70</f>
        <v>0</v>
      </c>
      <c r="AA71" s="673" t="e">
        <f>Z71/Z$27</f>
        <v>#DIV/0!</v>
      </c>
      <c r="AB71" s="129">
        <f>AB27-AB70</f>
        <v>0</v>
      </c>
      <c r="AC71" s="673" t="e">
        <f>AB71/AB$27</f>
        <v>#DIV/0!</v>
      </c>
      <c r="AD71" s="130">
        <f t="shared" si="17"/>
        <v>0</v>
      </c>
      <c r="AE71" s="673" t="e">
        <f>AD71/AD$27</f>
        <v>#DIV/0!</v>
      </c>
      <c r="AF71" s="129">
        <f>AF27-AF70</f>
        <v>0</v>
      </c>
      <c r="AG71" s="673" t="e">
        <f>AF71/AF$27</f>
        <v>#DIV/0!</v>
      </c>
      <c r="AH71" s="129">
        <f>AH27-AH70</f>
        <v>0</v>
      </c>
      <c r="AI71" s="673" t="e">
        <f>AH71/AH$27</f>
        <v>#DIV/0!</v>
      </c>
      <c r="AJ71" s="129">
        <f>AJ27-AJ70</f>
        <v>0</v>
      </c>
      <c r="AK71" s="673" t="e">
        <f>AJ71/AJ$27</f>
        <v>#DIV/0!</v>
      </c>
      <c r="AL71" s="130">
        <f t="shared" si="18"/>
        <v>0</v>
      </c>
      <c r="AM71" s="673" t="e">
        <f>AL71/AL$27</f>
        <v>#DIV/0!</v>
      </c>
      <c r="AN71" s="130">
        <f t="shared" si="15"/>
        <v>110339479.18225807</v>
      </c>
      <c r="AO71" s="131">
        <f>AN71/AN$27</f>
        <v>0.42397241175616229</v>
      </c>
      <c r="AP71" s="83" t="s">
        <v>128</v>
      </c>
      <c r="AQ71" s="84"/>
      <c r="AR71" s="84"/>
      <c r="AS71" s="84"/>
      <c r="AT71" s="84"/>
    </row>
    <row r="72" spans="1:46" s="10" customFormat="1" ht="18" customHeight="1">
      <c r="B72" s="86"/>
      <c r="C72" s="98"/>
      <c r="D72" s="1133" t="s">
        <v>105</v>
      </c>
      <c r="E72" s="1133" t="s">
        <v>105</v>
      </c>
      <c r="F72" s="515" t="s">
        <v>132</v>
      </c>
      <c r="G72" s="133" t="s">
        <v>133</v>
      </c>
      <c r="H72" s="31">
        <v>1785000</v>
      </c>
      <c r="I72" s="90"/>
      <c r="J72" s="31">
        <v>1596000</v>
      </c>
      <c r="K72" s="90"/>
      <c r="L72" s="31">
        <v>2156000</v>
      </c>
      <c r="M72" s="661"/>
      <c r="N72" s="89">
        <f t="shared" si="20"/>
        <v>5537000</v>
      </c>
      <c r="O72" s="34"/>
      <c r="P72" s="31"/>
      <c r="Q72" s="90"/>
      <c r="R72" s="31"/>
      <c r="S72" s="90"/>
      <c r="T72" s="31"/>
      <c r="U72" s="661"/>
      <c r="V72" s="101">
        <f t="shared" si="16"/>
        <v>0</v>
      </c>
      <c r="W72" s="34"/>
      <c r="X72" s="31"/>
      <c r="Y72" s="90"/>
      <c r="Z72" s="31"/>
      <c r="AA72" s="90"/>
      <c r="AB72" s="31"/>
      <c r="AC72" s="661"/>
      <c r="AD72" s="89">
        <f t="shared" si="17"/>
        <v>0</v>
      </c>
      <c r="AE72" s="34"/>
      <c r="AF72" s="31"/>
      <c r="AG72" s="90"/>
      <c r="AH72" s="31"/>
      <c r="AI72" s="90"/>
      <c r="AJ72" s="31"/>
      <c r="AK72" s="661"/>
      <c r="AL72" s="101">
        <f t="shared" si="18"/>
        <v>0</v>
      </c>
      <c r="AM72" s="34"/>
      <c r="AN72" s="585">
        <f t="shared" si="15"/>
        <v>5537000</v>
      </c>
      <c r="AO72" s="40"/>
      <c r="AP72" s="28"/>
      <c r="AQ72" s="28"/>
      <c r="AR72" s="28"/>
      <c r="AS72" s="28"/>
    </row>
    <row r="73" spans="1:46" s="10" customFormat="1" ht="18" customHeight="1">
      <c r="A73" s="5"/>
      <c r="B73" s="86"/>
      <c r="C73" s="98"/>
      <c r="D73" s="1119"/>
      <c r="E73" s="1119"/>
      <c r="F73" s="515" t="s">
        <v>134</v>
      </c>
      <c r="G73" s="88" t="s">
        <v>135</v>
      </c>
      <c r="H73" s="31">
        <v>82724</v>
      </c>
      <c r="I73" s="90"/>
      <c r="J73" s="31">
        <v>74719</v>
      </c>
      <c r="K73" s="90"/>
      <c r="L73" s="31">
        <v>82724</v>
      </c>
      <c r="M73" s="661"/>
      <c r="N73" s="89">
        <f t="shared" si="20"/>
        <v>240167</v>
      </c>
      <c r="O73" s="34"/>
      <c r="P73" s="31"/>
      <c r="Q73" s="90"/>
      <c r="R73" s="31"/>
      <c r="S73" s="90"/>
      <c r="T73" s="31"/>
      <c r="U73" s="661"/>
      <c r="V73" s="101">
        <f t="shared" si="16"/>
        <v>0</v>
      </c>
      <c r="W73" s="34"/>
      <c r="X73" s="31"/>
      <c r="Y73" s="90"/>
      <c r="Z73" s="31"/>
      <c r="AA73" s="90"/>
      <c r="AB73" s="31"/>
      <c r="AC73" s="661"/>
      <c r="AD73" s="89">
        <f t="shared" si="17"/>
        <v>0</v>
      </c>
      <c r="AE73" s="34"/>
      <c r="AF73" s="31"/>
      <c r="AG73" s="90"/>
      <c r="AH73" s="31"/>
      <c r="AI73" s="90"/>
      <c r="AJ73" s="31"/>
      <c r="AK73" s="661"/>
      <c r="AL73" s="101">
        <f t="shared" si="18"/>
        <v>0</v>
      </c>
      <c r="AM73" s="34"/>
      <c r="AN73" s="585">
        <f t="shared" si="15"/>
        <v>240167</v>
      </c>
      <c r="AO73" s="40"/>
      <c r="AP73" s="28"/>
      <c r="AQ73" s="28"/>
      <c r="AR73" s="28"/>
      <c r="AS73" s="28"/>
      <c r="AT73" s="28"/>
    </row>
    <row r="74" spans="1:46" s="10" customFormat="1" ht="18" customHeight="1">
      <c r="B74" s="86"/>
      <c r="C74" s="98"/>
      <c r="D74" s="1120"/>
      <c r="E74" s="1120"/>
      <c r="F74" s="516" t="s">
        <v>106</v>
      </c>
      <c r="G74" s="88" t="s">
        <v>594</v>
      </c>
      <c r="H74" s="134">
        <v>713285</v>
      </c>
      <c r="I74" s="405"/>
      <c r="J74" s="403">
        <v>760055</v>
      </c>
      <c r="K74" s="405"/>
      <c r="L74" s="134">
        <v>692895</v>
      </c>
      <c r="M74" s="662"/>
      <c r="N74" s="406">
        <f t="shared" si="20"/>
        <v>2166235</v>
      </c>
      <c r="O74" s="407"/>
      <c r="P74" s="403"/>
      <c r="Q74" s="405"/>
      <c r="R74" s="403"/>
      <c r="S74" s="405"/>
      <c r="T74" s="403"/>
      <c r="U74" s="662"/>
      <c r="V74" s="408">
        <f t="shared" si="16"/>
        <v>0</v>
      </c>
      <c r="W74" s="407"/>
      <c r="X74" s="403"/>
      <c r="Y74" s="405"/>
      <c r="Z74" s="403"/>
      <c r="AA74" s="405"/>
      <c r="AB74" s="403"/>
      <c r="AC74" s="662"/>
      <c r="AD74" s="406">
        <f t="shared" si="17"/>
        <v>0</v>
      </c>
      <c r="AE74" s="407"/>
      <c r="AF74" s="403"/>
      <c r="AG74" s="405"/>
      <c r="AH74" s="403"/>
      <c r="AI74" s="405"/>
      <c r="AJ74" s="403"/>
      <c r="AK74" s="662"/>
      <c r="AL74" s="406">
        <f t="shared" si="18"/>
        <v>0</v>
      </c>
      <c r="AM74" s="407"/>
      <c r="AN74" s="584">
        <f t="shared" si="15"/>
        <v>2166235</v>
      </c>
      <c r="AO74" s="40"/>
      <c r="AP74" s="28"/>
      <c r="AQ74" s="28"/>
      <c r="AR74" s="28"/>
      <c r="AS74" s="28"/>
    </row>
    <row r="75" spans="1:46" s="10" customFormat="1" ht="18" customHeight="1">
      <c r="A75" s="5"/>
      <c r="B75" s="86"/>
      <c r="C75" s="98"/>
      <c r="D75" s="1130" t="s">
        <v>499</v>
      </c>
      <c r="E75" s="1131"/>
      <c r="F75" s="1131"/>
      <c r="G75" s="1149"/>
      <c r="H75" s="554">
        <f>SUM(H72:H74)</f>
        <v>2581009</v>
      </c>
      <c r="I75" s="555"/>
      <c r="J75" s="554">
        <f>SUM(J72:J74)</f>
        <v>2430774</v>
      </c>
      <c r="K75" s="555"/>
      <c r="L75" s="554">
        <f>SUM(L72:L74)</f>
        <v>2931619</v>
      </c>
      <c r="M75" s="674"/>
      <c r="N75" s="556">
        <f t="shared" si="20"/>
        <v>7943402</v>
      </c>
      <c r="O75" s="557"/>
      <c r="P75" s="554">
        <f>SUM(P72:P74)</f>
        <v>0</v>
      </c>
      <c r="Q75" s="555"/>
      <c r="R75" s="554">
        <f>SUM(R72:R74)</f>
        <v>0</v>
      </c>
      <c r="S75" s="555"/>
      <c r="T75" s="554">
        <f>SUM(T72:T74)</f>
        <v>0</v>
      </c>
      <c r="U75" s="674"/>
      <c r="V75" s="558">
        <f t="shared" si="16"/>
        <v>0</v>
      </c>
      <c r="W75" s="557"/>
      <c r="X75" s="554">
        <f>SUM(X72:X74)</f>
        <v>0</v>
      </c>
      <c r="Y75" s="555"/>
      <c r="Z75" s="554">
        <f>SUM(Z72:Z74)</f>
        <v>0</v>
      </c>
      <c r="AA75" s="555"/>
      <c r="AB75" s="554">
        <f>SUM(AB72:AB74)</f>
        <v>0</v>
      </c>
      <c r="AC75" s="674"/>
      <c r="AD75" s="556">
        <f t="shared" si="17"/>
        <v>0</v>
      </c>
      <c r="AE75" s="557"/>
      <c r="AF75" s="554">
        <f>SUM(AF72:AF74)</f>
        <v>0</v>
      </c>
      <c r="AG75" s="555"/>
      <c r="AH75" s="554">
        <f>SUM(AH72:AH74)</f>
        <v>0</v>
      </c>
      <c r="AI75" s="555"/>
      <c r="AJ75" s="554">
        <f>SUM(AJ72:AJ74)</f>
        <v>0</v>
      </c>
      <c r="AK75" s="674"/>
      <c r="AL75" s="558">
        <f t="shared" si="18"/>
        <v>0</v>
      </c>
      <c r="AM75" s="557"/>
      <c r="AN75" s="558">
        <f t="shared" si="15"/>
        <v>7943402</v>
      </c>
      <c r="AO75" s="559"/>
      <c r="AP75" s="28"/>
      <c r="AQ75" s="28"/>
      <c r="AR75" s="28"/>
      <c r="AS75" s="28"/>
      <c r="AT75" s="28"/>
    </row>
    <row r="76" spans="1:46" s="10" customFormat="1" ht="18" customHeight="1">
      <c r="A76" s="5"/>
      <c r="B76" s="86"/>
      <c r="C76" s="98"/>
      <c r="D76" s="564" t="s">
        <v>136</v>
      </c>
      <c r="E76" s="564" t="s">
        <v>136</v>
      </c>
      <c r="F76" s="542" t="s">
        <v>137</v>
      </c>
      <c r="G76" s="133" t="s">
        <v>138</v>
      </c>
      <c r="H76" s="31">
        <v>54500</v>
      </c>
      <c r="I76" s="90"/>
      <c r="J76" s="31">
        <v>54500</v>
      </c>
      <c r="K76" s="90"/>
      <c r="L76" s="31">
        <v>54500</v>
      </c>
      <c r="M76" s="661"/>
      <c r="N76" s="89">
        <f t="shared" si="20"/>
        <v>163500</v>
      </c>
      <c r="O76" s="34"/>
      <c r="P76" s="31"/>
      <c r="Q76" s="90"/>
      <c r="R76" s="31"/>
      <c r="S76" s="90"/>
      <c r="T76" s="31"/>
      <c r="U76" s="661"/>
      <c r="V76" s="101">
        <f t="shared" si="16"/>
        <v>0</v>
      </c>
      <c r="W76" s="34"/>
      <c r="X76" s="31"/>
      <c r="Y76" s="90"/>
      <c r="Z76" s="31"/>
      <c r="AA76" s="90"/>
      <c r="AB76" s="31"/>
      <c r="AC76" s="661"/>
      <c r="AD76" s="89">
        <f t="shared" si="17"/>
        <v>0</v>
      </c>
      <c r="AE76" s="34"/>
      <c r="AF76" s="31"/>
      <c r="AG76" s="90"/>
      <c r="AH76" s="31"/>
      <c r="AI76" s="90"/>
      <c r="AJ76" s="31"/>
      <c r="AK76" s="661"/>
      <c r="AL76" s="101">
        <f t="shared" si="18"/>
        <v>0</v>
      </c>
      <c r="AM76" s="34"/>
      <c r="AN76" s="585">
        <f t="shared" si="15"/>
        <v>163500</v>
      </c>
      <c r="AO76" s="40"/>
      <c r="AP76" s="28"/>
      <c r="AQ76" s="28"/>
      <c r="AR76" s="28"/>
      <c r="AS76" s="28"/>
      <c r="AT76" s="28"/>
    </row>
    <row r="77" spans="1:46" s="10" customFormat="1" ht="18" customHeight="1">
      <c r="A77" s="5"/>
      <c r="B77" s="86"/>
      <c r="C77" s="98"/>
      <c r="D77" s="1093" t="s">
        <v>500</v>
      </c>
      <c r="E77" s="1094"/>
      <c r="F77" s="1094"/>
      <c r="G77" s="1159"/>
      <c r="H77" s="561">
        <f>SUM(H76)</f>
        <v>54500</v>
      </c>
      <c r="I77" s="560"/>
      <c r="J77" s="561">
        <f>SUM(J76)</f>
        <v>54500</v>
      </c>
      <c r="K77" s="560"/>
      <c r="L77" s="561">
        <f>SUM(L76)</f>
        <v>54500</v>
      </c>
      <c r="M77" s="675"/>
      <c r="N77" s="594">
        <f t="shared" si="20"/>
        <v>163500</v>
      </c>
      <c r="O77" s="595"/>
      <c r="P77" s="561">
        <f>SUM(P76)</f>
        <v>0</v>
      </c>
      <c r="Q77" s="560"/>
      <c r="R77" s="561">
        <f>SUM(R76)</f>
        <v>0</v>
      </c>
      <c r="S77" s="560"/>
      <c r="T77" s="561">
        <f>SUM(T76)</f>
        <v>0</v>
      </c>
      <c r="U77" s="675"/>
      <c r="V77" s="562">
        <f t="shared" si="16"/>
        <v>0</v>
      </c>
      <c r="W77" s="595"/>
      <c r="X77" s="561">
        <f>SUM(X76)</f>
        <v>0</v>
      </c>
      <c r="Y77" s="560"/>
      <c r="Z77" s="561">
        <f>SUM(Z76)</f>
        <v>0</v>
      </c>
      <c r="AA77" s="560"/>
      <c r="AB77" s="561">
        <f>SUM(AB76)</f>
        <v>0</v>
      </c>
      <c r="AC77" s="675"/>
      <c r="AD77" s="594">
        <f t="shared" si="17"/>
        <v>0</v>
      </c>
      <c r="AE77" s="595"/>
      <c r="AF77" s="561">
        <f>SUM(AF76)</f>
        <v>0</v>
      </c>
      <c r="AG77" s="560"/>
      <c r="AH77" s="561">
        <f>SUM(AH76)</f>
        <v>0</v>
      </c>
      <c r="AI77" s="560"/>
      <c r="AJ77" s="561">
        <f>SUM(AJ76)</f>
        <v>0</v>
      </c>
      <c r="AK77" s="675"/>
      <c r="AL77" s="562">
        <f t="shared" si="18"/>
        <v>0</v>
      </c>
      <c r="AM77" s="595"/>
      <c r="AN77" s="562">
        <f t="shared" si="15"/>
        <v>163500</v>
      </c>
      <c r="AO77" s="563"/>
      <c r="AP77" s="28"/>
      <c r="AQ77" s="28"/>
      <c r="AR77" s="28"/>
      <c r="AS77" s="28"/>
      <c r="AT77" s="28"/>
    </row>
    <row r="78" spans="1:46" s="10" customFormat="1" ht="18" customHeight="1">
      <c r="A78" s="5"/>
      <c r="B78" s="86"/>
      <c r="C78" s="98"/>
      <c r="D78" s="1147" t="s">
        <v>150</v>
      </c>
      <c r="E78" s="1147" t="s">
        <v>150</v>
      </c>
      <c r="F78" s="107" t="s">
        <v>151</v>
      </c>
      <c r="G78" s="133" t="s">
        <v>152</v>
      </c>
      <c r="H78" s="31">
        <v>40190</v>
      </c>
      <c r="I78" s="137"/>
      <c r="J78" s="31">
        <v>10790</v>
      </c>
      <c r="K78" s="137"/>
      <c r="L78" s="31">
        <v>14990</v>
      </c>
      <c r="M78" s="676"/>
      <c r="N78" s="89">
        <f t="shared" si="20"/>
        <v>65970</v>
      </c>
      <c r="O78" s="136"/>
      <c r="P78" s="31"/>
      <c r="Q78" s="137"/>
      <c r="R78" s="31"/>
      <c r="S78" s="137"/>
      <c r="T78" s="31"/>
      <c r="U78" s="676"/>
      <c r="V78" s="101">
        <f t="shared" si="16"/>
        <v>0</v>
      </c>
      <c r="W78" s="136"/>
      <c r="X78" s="31"/>
      <c r="Y78" s="137"/>
      <c r="Z78" s="31"/>
      <c r="AA78" s="137"/>
      <c r="AB78" s="31"/>
      <c r="AC78" s="676"/>
      <c r="AD78" s="89">
        <f t="shared" si="17"/>
        <v>0</v>
      </c>
      <c r="AE78" s="136"/>
      <c r="AF78" s="31"/>
      <c r="AG78" s="137"/>
      <c r="AH78" s="31"/>
      <c r="AI78" s="137"/>
      <c r="AJ78" s="31"/>
      <c r="AK78" s="676"/>
      <c r="AL78" s="101">
        <f t="shared" si="18"/>
        <v>0</v>
      </c>
      <c r="AM78" s="136"/>
      <c r="AN78" s="585">
        <f t="shared" si="15"/>
        <v>65970</v>
      </c>
      <c r="AO78" s="105" t="s">
        <v>115</v>
      </c>
      <c r="AP78" s="28"/>
      <c r="AQ78" s="28"/>
      <c r="AR78" s="28"/>
      <c r="AS78" s="28"/>
      <c r="AT78" s="28"/>
    </row>
    <row r="79" spans="1:46" s="10" customFormat="1" ht="18" customHeight="1">
      <c r="A79" s="5"/>
      <c r="B79" s="86"/>
      <c r="C79" s="98"/>
      <c r="D79" s="1148"/>
      <c r="E79" s="1148"/>
      <c r="F79" s="107" t="s">
        <v>151</v>
      </c>
      <c r="G79" s="133" t="s">
        <v>153</v>
      </c>
      <c r="H79" s="31">
        <v>80750</v>
      </c>
      <c r="I79" s="137"/>
      <c r="J79" s="31">
        <v>98430</v>
      </c>
      <c r="K79" s="137"/>
      <c r="L79" s="31">
        <v>72590</v>
      </c>
      <c r="M79" s="676"/>
      <c r="N79" s="89">
        <f t="shared" si="20"/>
        <v>251770</v>
      </c>
      <c r="O79" s="136"/>
      <c r="P79" s="31"/>
      <c r="Q79" s="137"/>
      <c r="R79" s="31"/>
      <c r="S79" s="137"/>
      <c r="T79" s="31"/>
      <c r="U79" s="676"/>
      <c r="V79" s="101">
        <f t="shared" si="16"/>
        <v>0</v>
      </c>
      <c r="W79" s="136"/>
      <c r="X79" s="31"/>
      <c r="Y79" s="137"/>
      <c r="Z79" s="31"/>
      <c r="AA79" s="137"/>
      <c r="AB79" s="31"/>
      <c r="AC79" s="676"/>
      <c r="AD79" s="89">
        <f t="shared" si="17"/>
        <v>0</v>
      </c>
      <c r="AE79" s="136"/>
      <c r="AF79" s="31"/>
      <c r="AG79" s="137"/>
      <c r="AH79" s="31"/>
      <c r="AI79" s="137"/>
      <c r="AJ79" s="31"/>
      <c r="AK79" s="676"/>
      <c r="AL79" s="101">
        <f t="shared" si="18"/>
        <v>0</v>
      </c>
      <c r="AM79" s="136"/>
      <c r="AN79" s="585">
        <f t="shared" si="15"/>
        <v>251770</v>
      </c>
      <c r="AO79" s="105" t="s">
        <v>115</v>
      </c>
      <c r="AP79" s="28"/>
      <c r="AQ79" s="28"/>
      <c r="AR79" s="28"/>
      <c r="AS79" s="28"/>
      <c r="AT79" s="28"/>
    </row>
    <row r="80" spans="1:46" s="10" customFormat="1" ht="18" customHeight="1">
      <c r="A80" s="5"/>
      <c r="B80" s="86"/>
      <c r="C80" s="98"/>
      <c r="D80" s="1148"/>
      <c r="E80" s="1148"/>
      <c r="F80" s="517" t="s">
        <v>154</v>
      </c>
      <c r="G80" s="153" t="s">
        <v>155</v>
      </c>
      <c r="H80" s="31">
        <v>11153802</v>
      </c>
      <c r="I80" s="90">
        <f>H80/H27</f>
        <v>0.13148579117792483</v>
      </c>
      <c r="J80" s="31">
        <v>8544645</v>
      </c>
      <c r="K80" s="90">
        <f>J80/J27</f>
        <v>0.11583976396588187</v>
      </c>
      <c r="L80" s="31">
        <v>13214386</v>
      </c>
      <c r="M80" s="661">
        <f>L80/L27</f>
        <v>0.12998612029983048</v>
      </c>
      <c r="N80" s="89">
        <f t="shared" si="20"/>
        <v>32912833</v>
      </c>
      <c r="O80" s="34">
        <f>N80/N27</f>
        <v>0.12646546175633525</v>
      </c>
      <c r="P80" s="31"/>
      <c r="Q80" s="90" t="e">
        <f>P80/P27</f>
        <v>#DIV/0!</v>
      </c>
      <c r="R80" s="31"/>
      <c r="S80" s="90" t="e">
        <f>R80/R27</f>
        <v>#DIV/0!</v>
      </c>
      <c r="T80" s="31"/>
      <c r="U80" s="661" t="e">
        <f>T80/T27</f>
        <v>#DIV/0!</v>
      </c>
      <c r="V80" s="101">
        <f t="shared" si="16"/>
        <v>0</v>
      </c>
      <c r="W80" s="34" t="e">
        <f>V80/$V$27</f>
        <v>#DIV/0!</v>
      </c>
      <c r="X80" s="31"/>
      <c r="Y80" s="90" t="e">
        <f>X80/X27</f>
        <v>#DIV/0!</v>
      </c>
      <c r="Z80" s="31"/>
      <c r="AA80" s="90" t="e">
        <f>Z80/Z27</f>
        <v>#DIV/0!</v>
      </c>
      <c r="AB80" s="31"/>
      <c r="AC80" s="661" t="e">
        <f>AB80/AB27</f>
        <v>#DIV/0!</v>
      </c>
      <c r="AD80" s="89">
        <f t="shared" si="17"/>
        <v>0</v>
      </c>
      <c r="AE80" s="34" t="e">
        <f>AD80/$V$27</f>
        <v>#DIV/0!</v>
      </c>
      <c r="AF80" s="31"/>
      <c r="AG80" s="90" t="e">
        <f>AF80/AF27</f>
        <v>#DIV/0!</v>
      </c>
      <c r="AH80" s="31"/>
      <c r="AI80" s="90" t="e">
        <f>AH80/AH27</f>
        <v>#DIV/0!</v>
      </c>
      <c r="AJ80" s="31"/>
      <c r="AK80" s="661" t="e">
        <f>AJ80/AJ27</f>
        <v>#DIV/0!</v>
      </c>
      <c r="AL80" s="101">
        <f t="shared" si="18"/>
        <v>0</v>
      </c>
      <c r="AM80" s="34" t="e">
        <f>AL80/$V$27</f>
        <v>#DIV/0!</v>
      </c>
      <c r="AN80" s="585">
        <f t="shared" si="15"/>
        <v>32912833</v>
      </c>
      <c r="AO80" s="40"/>
      <c r="AP80" s="28"/>
      <c r="AQ80" s="28"/>
      <c r="AR80" s="28"/>
      <c r="AS80" s="28"/>
      <c r="AT80" s="28"/>
    </row>
    <row r="81" spans="1:46" s="10" customFormat="1" ht="18" customHeight="1">
      <c r="A81" s="5"/>
      <c r="B81" s="86"/>
      <c r="C81" s="98"/>
      <c r="D81" s="1156" t="s">
        <v>502</v>
      </c>
      <c r="E81" s="1157"/>
      <c r="F81" s="1157"/>
      <c r="G81" s="1158"/>
      <c r="H81" s="596">
        <f>SUM(H78:H80)</f>
        <v>11274742</v>
      </c>
      <c r="I81" s="565"/>
      <c r="J81" s="566">
        <f>SUM(J78:J80)</f>
        <v>8653865</v>
      </c>
      <c r="K81" s="565"/>
      <c r="L81" s="566">
        <f>SUM(L78:L80)</f>
        <v>13301966</v>
      </c>
      <c r="M81" s="677"/>
      <c r="N81" s="597">
        <f t="shared" si="20"/>
        <v>33230573</v>
      </c>
      <c r="O81" s="598"/>
      <c r="P81" s="566">
        <f>SUM(P78:P80)</f>
        <v>0</v>
      </c>
      <c r="Q81" s="565"/>
      <c r="R81" s="566">
        <f>SUM(R78:R80)</f>
        <v>0</v>
      </c>
      <c r="S81" s="565"/>
      <c r="T81" s="566">
        <f>SUM(T78:T80)</f>
        <v>0</v>
      </c>
      <c r="U81" s="677"/>
      <c r="V81" s="567">
        <f t="shared" si="16"/>
        <v>0</v>
      </c>
      <c r="W81" s="598"/>
      <c r="X81" s="566">
        <f>SUM(X78:X80)</f>
        <v>0</v>
      </c>
      <c r="Y81" s="565"/>
      <c r="Z81" s="566">
        <f>SUM(Z78:Z80)</f>
        <v>0</v>
      </c>
      <c r="AA81" s="565"/>
      <c r="AB81" s="566">
        <f>SUM(AB78:AB80)</f>
        <v>0</v>
      </c>
      <c r="AC81" s="677"/>
      <c r="AD81" s="597">
        <f t="shared" si="17"/>
        <v>0</v>
      </c>
      <c r="AE81" s="598"/>
      <c r="AF81" s="566">
        <f>SUM(AF78:AF80)</f>
        <v>0</v>
      </c>
      <c r="AG81" s="565"/>
      <c r="AH81" s="566">
        <f>SUM(AH78:AH80)</f>
        <v>0</v>
      </c>
      <c r="AI81" s="565"/>
      <c r="AJ81" s="566">
        <f>SUM(AJ78:AJ80)</f>
        <v>0</v>
      </c>
      <c r="AK81" s="677"/>
      <c r="AL81" s="567">
        <f t="shared" si="18"/>
        <v>0</v>
      </c>
      <c r="AM81" s="598"/>
      <c r="AN81" s="567">
        <f t="shared" ref="AN81:AN144" si="21">SUM(N81+V81+AD81+AL81)</f>
        <v>33230573</v>
      </c>
      <c r="AO81" s="491"/>
      <c r="AP81" s="28"/>
      <c r="AQ81" s="28"/>
      <c r="AR81" s="28"/>
      <c r="AS81" s="28"/>
      <c r="AT81" s="28"/>
    </row>
    <row r="82" spans="1:46" s="10" customFormat="1" ht="18" customHeight="1">
      <c r="A82" s="5"/>
      <c r="B82" s="86"/>
      <c r="C82" s="98"/>
      <c r="D82" s="538" t="s">
        <v>156</v>
      </c>
      <c r="E82" s="538" t="s">
        <v>156</v>
      </c>
      <c r="F82" s="539" t="s">
        <v>157</v>
      </c>
      <c r="G82" s="133" t="s">
        <v>158</v>
      </c>
      <c r="H82" s="31">
        <f>4782920-424395</f>
        <v>4358525</v>
      </c>
      <c r="I82" s="90">
        <f>H82/H27</f>
        <v>5.138015790434193E-2</v>
      </c>
      <c r="J82" s="31">
        <f>5125330-454778</f>
        <v>4670552</v>
      </c>
      <c r="K82" s="90">
        <f>J82/J27</f>
        <v>6.3318679859769189E-2</v>
      </c>
      <c r="L82" s="31">
        <v>3840989</v>
      </c>
      <c r="M82" s="661">
        <f>L82/L27</f>
        <v>3.7782705774171088E-2</v>
      </c>
      <c r="N82" s="89">
        <f t="shared" si="20"/>
        <v>12870066</v>
      </c>
      <c r="O82" s="34">
        <f>N82/N27</f>
        <v>4.9452407804715881E-2</v>
      </c>
      <c r="P82" s="31"/>
      <c r="Q82" s="90" t="e">
        <f>P82/P27</f>
        <v>#DIV/0!</v>
      </c>
      <c r="R82" s="31"/>
      <c r="S82" s="90" t="e">
        <f>R82/R27</f>
        <v>#DIV/0!</v>
      </c>
      <c r="T82" s="31"/>
      <c r="U82" s="661" t="e">
        <f>T82/T27</f>
        <v>#DIV/0!</v>
      </c>
      <c r="V82" s="101">
        <f t="shared" si="16"/>
        <v>0</v>
      </c>
      <c r="W82" s="34" t="e">
        <f>V82/$V$27</f>
        <v>#DIV/0!</v>
      </c>
      <c r="X82" s="31"/>
      <c r="Y82" s="90" t="e">
        <f>X82/X27</f>
        <v>#DIV/0!</v>
      </c>
      <c r="Z82" s="31"/>
      <c r="AA82" s="90" t="e">
        <f>Z82/Z27</f>
        <v>#DIV/0!</v>
      </c>
      <c r="AB82" s="31"/>
      <c r="AC82" s="661" t="e">
        <f>AB82/AB27</f>
        <v>#DIV/0!</v>
      </c>
      <c r="AD82" s="89">
        <f t="shared" si="17"/>
        <v>0</v>
      </c>
      <c r="AE82" s="34" t="e">
        <f>AD82/$V$27</f>
        <v>#DIV/0!</v>
      </c>
      <c r="AF82" s="31"/>
      <c r="AG82" s="90" t="e">
        <f>AF82/AF27</f>
        <v>#DIV/0!</v>
      </c>
      <c r="AH82" s="31"/>
      <c r="AI82" s="90" t="e">
        <f>AH82/AH27</f>
        <v>#DIV/0!</v>
      </c>
      <c r="AJ82" s="31"/>
      <c r="AK82" s="661" t="e">
        <f>AJ82/AJ27</f>
        <v>#DIV/0!</v>
      </c>
      <c r="AL82" s="101">
        <f t="shared" si="18"/>
        <v>0</v>
      </c>
      <c r="AM82" s="34" t="e">
        <f>AL82/$V$27</f>
        <v>#DIV/0!</v>
      </c>
      <c r="AN82" s="585">
        <f t="shared" si="21"/>
        <v>12870066</v>
      </c>
      <c r="AO82" s="40" t="s">
        <v>159</v>
      </c>
      <c r="AP82" s="140" t="s">
        <v>160</v>
      </c>
      <c r="AQ82" s="28"/>
      <c r="AR82" s="28"/>
      <c r="AS82" s="28"/>
      <c r="AT82" s="28"/>
    </row>
    <row r="83" spans="1:46" s="10" customFormat="1" ht="18" customHeight="1">
      <c r="A83" s="5"/>
      <c r="B83" s="86"/>
      <c r="C83" s="98"/>
      <c r="D83" s="1153" t="s">
        <v>501</v>
      </c>
      <c r="E83" s="1154"/>
      <c r="F83" s="1154"/>
      <c r="G83" s="1155"/>
      <c r="H83" s="599">
        <f>SUM(H82)</f>
        <v>4358525</v>
      </c>
      <c r="I83" s="600"/>
      <c r="J83" s="599">
        <f>SUM(J82)</f>
        <v>4670552</v>
      </c>
      <c r="K83" s="600"/>
      <c r="L83" s="599">
        <f>SUM(L82)</f>
        <v>3840989</v>
      </c>
      <c r="M83" s="678"/>
      <c r="N83" s="601">
        <f t="shared" si="20"/>
        <v>12870066</v>
      </c>
      <c r="O83" s="602"/>
      <c r="P83" s="599">
        <f>SUM(P82)</f>
        <v>0</v>
      </c>
      <c r="Q83" s="600"/>
      <c r="R83" s="599">
        <f>SUM(R82)</f>
        <v>0</v>
      </c>
      <c r="S83" s="600"/>
      <c r="T83" s="599">
        <f>SUM(T82)</f>
        <v>0</v>
      </c>
      <c r="U83" s="678"/>
      <c r="V83" s="603">
        <f t="shared" si="16"/>
        <v>0</v>
      </c>
      <c r="W83" s="602"/>
      <c r="X83" s="599">
        <f>SUM(X82)</f>
        <v>0</v>
      </c>
      <c r="Y83" s="600"/>
      <c r="Z83" s="599">
        <f>SUM(Z82)</f>
        <v>0</v>
      </c>
      <c r="AA83" s="600"/>
      <c r="AB83" s="599">
        <f>SUM(AB82)</f>
        <v>0</v>
      </c>
      <c r="AC83" s="678"/>
      <c r="AD83" s="601">
        <f t="shared" si="17"/>
        <v>0</v>
      </c>
      <c r="AE83" s="602"/>
      <c r="AF83" s="599">
        <f>SUM(AF82)</f>
        <v>0</v>
      </c>
      <c r="AG83" s="600"/>
      <c r="AH83" s="599">
        <f>SUM(AH82)</f>
        <v>0</v>
      </c>
      <c r="AI83" s="600"/>
      <c r="AJ83" s="599">
        <f>SUM(AJ82)</f>
        <v>0</v>
      </c>
      <c r="AK83" s="678"/>
      <c r="AL83" s="603">
        <f t="shared" si="18"/>
        <v>0</v>
      </c>
      <c r="AM83" s="602"/>
      <c r="AN83" s="603">
        <f t="shared" si="21"/>
        <v>12870066</v>
      </c>
      <c r="AO83" s="604"/>
      <c r="AP83" s="140"/>
      <c r="AQ83" s="28"/>
      <c r="AR83" s="28"/>
      <c r="AS83" s="28"/>
      <c r="AT83" s="28"/>
    </row>
    <row r="84" spans="1:46" s="10" customFormat="1" ht="18" customHeight="1">
      <c r="A84" s="5"/>
      <c r="B84" s="86"/>
      <c r="C84" s="98"/>
      <c r="D84" s="1032" t="s">
        <v>161</v>
      </c>
      <c r="E84" s="1032" t="s">
        <v>161</v>
      </c>
      <c r="F84" s="135" t="s">
        <v>162</v>
      </c>
      <c r="G84" s="133" t="s">
        <v>163</v>
      </c>
      <c r="H84" s="31">
        <v>54560</v>
      </c>
      <c r="I84" s="137"/>
      <c r="J84" s="31">
        <v>0</v>
      </c>
      <c r="K84" s="137"/>
      <c r="L84" s="31">
        <v>0</v>
      </c>
      <c r="M84" s="676"/>
      <c r="N84" s="89">
        <f t="shared" si="20"/>
        <v>54560</v>
      </c>
      <c r="O84" s="136"/>
      <c r="P84" s="31"/>
      <c r="Q84" s="137"/>
      <c r="R84" s="31"/>
      <c r="S84" s="137"/>
      <c r="T84" s="31"/>
      <c r="U84" s="676"/>
      <c r="V84" s="101">
        <f t="shared" si="16"/>
        <v>0</v>
      </c>
      <c r="W84" s="136"/>
      <c r="X84" s="31"/>
      <c r="Y84" s="137"/>
      <c r="Z84" s="31"/>
      <c r="AA84" s="137"/>
      <c r="AB84" s="31"/>
      <c r="AC84" s="676"/>
      <c r="AD84" s="89">
        <f t="shared" si="17"/>
        <v>0</v>
      </c>
      <c r="AE84" s="136"/>
      <c r="AF84" s="31"/>
      <c r="AG84" s="137"/>
      <c r="AH84" s="31"/>
      <c r="AI84" s="137"/>
      <c r="AJ84" s="31"/>
      <c r="AK84" s="676"/>
      <c r="AL84" s="101">
        <f t="shared" si="18"/>
        <v>0</v>
      </c>
      <c r="AM84" s="136"/>
      <c r="AN84" s="585">
        <f t="shared" si="21"/>
        <v>54560</v>
      </c>
      <c r="AO84" s="105" t="s">
        <v>115</v>
      </c>
      <c r="AP84" s="141"/>
      <c r="AQ84" s="28"/>
      <c r="AR84" s="28"/>
      <c r="AS84" s="28"/>
      <c r="AT84" s="28"/>
    </row>
    <row r="85" spans="1:46" s="10" customFormat="1" ht="18" hidden="1" customHeight="1">
      <c r="A85" s="5"/>
      <c r="B85" s="86"/>
      <c r="C85" s="98"/>
      <c r="D85" s="1033"/>
      <c r="E85" s="1033"/>
      <c r="F85" s="135" t="s">
        <v>162</v>
      </c>
      <c r="G85" s="133" t="s">
        <v>164</v>
      </c>
      <c r="H85" s="31">
        <v>0</v>
      </c>
      <c r="I85" s="137"/>
      <c r="J85" s="31"/>
      <c r="K85" s="137"/>
      <c r="L85" s="31"/>
      <c r="M85" s="676"/>
      <c r="N85" s="89">
        <f t="shared" si="20"/>
        <v>0</v>
      </c>
      <c r="O85" s="136"/>
      <c r="P85" s="31"/>
      <c r="Q85" s="137"/>
      <c r="R85" s="31"/>
      <c r="S85" s="137"/>
      <c r="T85" s="31"/>
      <c r="U85" s="676"/>
      <c r="V85" s="101">
        <f t="shared" si="16"/>
        <v>0</v>
      </c>
      <c r="W85" s="136"/>
      <c r="X85" s="31"/>
      <c r="Y85" s="137"/>
      <c r="Z85" s="31"/>
      <c r="AA85" s="137"/>
      <c r="AB85" s="31"/>
      <c r="AC85" s="676"/>
      <c r="AD85" s="89">
        <f t="shared" si="17"/>
        <v>0</v>
      </c>
      <c r="AE85" s="136"/>
      <c r="AF85" s="31"/>
      <c r="AG85" s="137"/>
      <c r="AH85" s="31"/>
      <c r="AI85" s="137"/>
      <c r="AJ85" s="31"/>
      <c r="AK85" s="676"/>
      <c r="AL85" s="101">
        <f t="shared" si="18"/>
        <v>0</v>
      </c>
      <c r="AM85" s="136"/>
      <c r="AN85" s="585">
        <f t="shared" si="21"/>
        <v>0</v>
      </c>
      <c r="AO85" s="105" t="s">
        <v>115</v>
      </c>
      <c r="AP85" s="28"/>
      <c r="AQ85" s="28"/>
      <c r="AR85" s="28"/>
      <c r="AS85" s="28"/>
      <c r="AT85" s="28"/>
    </row>
    <row r="86" spans="1:46" s="10" customFormat="1" ht="18" hidden="1" customHeight="1">
      <c r="A86" s="5"/>
      <c r="B86" s="86"/>
      <c r="C86" s="98"/>
      <c r="D86" s="1033"/>
      <c r="E86" s="1033"/>
      <c r="F86" s="535" t="s">
        <v>162</v>
      </c>
      <c r="G86" s="133" t="s">
        <v>165</v>
      </c>
      <c r="H86" s="31">
        <v>0</v>
      </c>
      <c r="I86" s="137"/>
      <c r="J86" s="31"/>
      <c r="K86" s="137"/>
      <c r="L86" s="31"/>
      <c r="M86" s="676"/>
      <c r="N86" s="89">
        <f t="shared" si="20"/>
        <v>0</v>
      </c>
      <c r="O86" s="136"/>
      <c r="P86" s="31"/>
      <c r="Q86" s="137"/>
      <c r="R86" s="31"/>
      <c r="S86" s="137"/>
      <c r="T86" s="31"/>
      <c r="U86" s="676"/>
      <c r="V86" s="101">
        <f t="shared" si="16"/>
        <v>0</v>
      </c>
      <c r="W86" s="136"/>
      <c r="X86" s="31"/>
      <c r="Y86" s="137"/>
      <c r="Z86" s="31"/>
      <c r="AA86" s="137"/>
      <c r="AB86" s="31"/>
      <c r="AC86" s="676"/>
      <c r="AD86" s="89">
        <f t="shared" si="17"/>
        <v>0</v>
      </c>
      <c r="AE86" s="136"/>
      <c r="AF86" s="31"/>
      <c r="AG86" s="137"/>
      <c r="AH86" s="31"/>
      <c r="AI86" s="137"/>
      <c r="AJ86" s="31"/>
      <c r="AK86" s="676"/>
      <c r="AL86" s="101">
        <f t="shared" si="18"/>
        <v>0</v>
      </c>
      <c r="AM86" s="136"/>
      <c r="AN86" s="585">
        <f t="shared" si="21"/>
        <v>0</v>
      </c>
      <c r="AO86" s="105" t="s">
        <v>115</v>
      </c>
      <c r="AP86" s="141"/>
      <c r="AQ86" s="28"/>
      <c r="AR86" s="28"/>
      <c r="AS86" s="28"/>
      <c r="AT86" s="28"/>
    </row>
    <row r="87" spans="1:46" s="10" customFormat="1" ht="18" customHeight="1">
      <c r="A87" s="5"/>
      <c r="B87" s="86"/>
      <c r="C87" s="98"/>
      <c r="D87" s="1033"/>
      <c r="E87" s="1033"/>
      <c r="F87" s="535" t="s">
        <v>166</v>
      </c>
      <c r="G87" s="133" t="s">
        <v>167</v>
      </c>
      <c r="H87" s="31">
        <v>45800</v>
      </c>
      <c r="I87" s="137"/>
      <c r="J87" s="31">
        <v>0</v>
      </c>
      <c r="K87" s="137"/>
      <c r="L87" s="31">
        <v>0</v>
      </c>
      <c r="M87" s="676"/>
      <c r="N87" s="89">
        <f t="shared" si="20"/>
        <v>45800</v>
      </c>
      <c r="O87" s="136"/>
      <c r="P87" s="31"/>
      <c r="Q87" s="137"/>
      <c r="R87" s="31"/>
      <c r="S87" s="137"/>
      <c r="T87" s="31"/>
      <c r="U87" s="676"/>
      <c r="V87" s="101">
        <f t="shared" si="16"/>
        <v>0</v>
      </c>
      <c r="W87" s="136"/>
      <c r="X87" s="31"/>
      <c r="Y87" s="137"/>
      <c r="Z87" s="31"/>
      <c r="AA87" s="137"/>
      <c r="AB87" s="31"/>
      <c r="AC87" s="676"/>
      <c r="AD87" s="89">
        <f t="shared" si="17"/>
        <v>0</v>
      </c>
      <c r="AE87" s="136"/>
      <c r="AF87" s="31"/>
      <c r="AG87" s="137"/>
      <c r="AH87" s="31"/>
      <c r="AI87" s="137"/>
      <c r="AJ87" s="31"/>
      <c r="AK87" s="676"/>
      <c r="AL87" s="101">
        <f t="shared" si="18"/>
        <v>0</v>
      </c>
      <c r="AM87" s="136"/>
      <c r="AN87" s="585">
        <f t="shared" si="21"/>
        <v>45800</v>
      </c>
      <c r="AO87" s="105" t="s">
        <v>115</v>
      </c>
      <c r="AP87" s="28"/>
      <c r="AQ87" s="28"/>
      <c r="AR87" s="28"/>
      <c r="AS87" s="28"/>
      <c r="AT87" s="28"/>
    </row>
    <row r="88" spans="1:46" s="10" customFormat="1" ht="18" customHeight="1">
      <c r="A88" s="5"/>
      <c r="B88" s="86"/>
      <c r="C88" s="98"/>
      <c r="D88" s="1033"/>
      <c r="E88" s="1033"/>
      <c r="F88" s="535" t="s">
        <v>162</v>
      </c>
      <c r="G88" s="133" t="s">
        <v>168</v>
      </c>
      <c r="H88" s="31">
        <v>9000</v>
      </c>
      <c r="I88" s="137"/>
      <c r="J88" s="31">
        <v>0</v>
      </c>
      <c r="K88" s="137"/>
      <c r="L88" s="31">
        <v>0</v>
      </c>
      <c r="M88" s="676"/>
      <c r="N88" s="89">
        <f t="shared" si="20"/>
        <v>9000</v>
      </c>
      <c r="O88" s="136"/>
      <c r="P88" s="31"/>
      <c r="Q88" s="137"/>
      <c r="R88" s="31"/>
      <c r="S88" s="137"/>
      <c r="T88" s="31"/>
      <c r="U88" s="676"/>
      <c r="V88" s="101">
        <f t="shared" si="16"/>
        <v>0</v>
      </c>
      <c r="W88" s="136"/>
      <c r="X88" s="31"/>
      <c r="Y88" s="137"/>
      <c r="Z88" s="31"/>
      <c r="AA88" s="137"/>
      <c r="AB88" s="31"/>
      <c r="AC88" s="676"/>
      <c r="AD88" s="89">
        <f t="shared" si="17"/>
        <v>0</v>
      </c>
      <c r="AE88" s="136"/>
      <c r="AF88" s="31"/>
      <c r="AG88" s="137"/>
      <c r="AH88" s="31"/>
      <c r="AI88" s="137"/>
      <c r="AJ88" s="31"/>
      <c r="AK88" s="676"/>
      <c r="AL88" s="101">
        <f t="shared" si="18"/>
        <v>0</v>
      </c>
      <c r="AM88" s="136"/>
      <c r="AN88" s="585">
        <f t="shared" si="21"/>
        <v>9000</v>
      </c>
      <c r="AO88" s="105" t="s">
        <v>115</v>
      </c>
      <c r="AP88" s="28"/>
      <c r="AQ88" s="28"/>
      <c r="AR88" s="28"/>
      <c r="AS88" s="28"/>
      <c r="AT88" s="28"/>
    </row>
    <row r="89" spans="1:46" s="10" customFormat="1" ht="18" customHeight="1">
      <c r="A89" s="5"/>
      <c r="B89" s="86"/>
      <c r="C89" s="98"/>
      <c r="D89" s="1033"/>
      <c r="E89" s="1033"/>
      <c r="F89" s="535" t="s">
        <v>162</v>
      </c>
      <c r="G89" s="133" t="s">
        <v>169</v>
      </c>
      <c r="H89" s="31">
        <v>4500</v>
      </c>
      <c r="I89" s="137"/>
      <c r="J89" s="31">
        <v>0</v>
      </c>
      <c r="K89" s="137"/>
      <c r="L89" s="31">
        <v>0</v>
      </c>
      <c r="M89" s="676"/>
      <c r="N89" s="89">
        <f t="shared" si="20"/>
        <v>4500</v>
      </c>
      <c r="O89" s="136"/>
      <c r="P89" s="31"/>
      <c r="Q89" s="137"/>
      <c r="R89" s="31"/>
      <c r="S89" s="137"/>
      <c r="T89" s="31"/>
      <c r="U89" s="676"/>
      <c r="V89" s="101">
        <f t="shared" si="16"/>
        <v>0</v>
      </c>
      <c r="W89" s="136"/>
      <c r="X89" s="31"/>
      <c r="Y89" s="137"/>
      <c r="Z89" s="31"/>
      <c r="AA89" s="137"/>
      <c r="AB89" s="31"/>
      <c r="AC89" s="676"/>
      <c r="AD89" s="89">
        <f t="shared" si="17"/>
        <v>0</v>
      </c>
      <c r="AE89" s="136"/>
      <c r="AF89" s="31"/>
      <c r="AG89" s="137"/>
      <c r="AH89" s="31"/>
      <c r="AI89" s="137"/>
      <c r="AJ89" s="31"/>
      <c r="AK89" s="676"/>
      <c r="AL89" s="101">
        <f t="shared" si="18"/>
        <v>0</v>
      </c>
      <c r="AM89" s="136"/>
      <c r="AN89" s="585">
        <f t="shared" si="21"/>
        <v>4500</v>
      </c>
      <c r="AO89" s="105" t="s">
        <v>115</v>
      </c>
      <c r="AP89" s="28"/>
      <c r="AQ89" s="28"/>
      <c r="AR89" s="28"/>
      <c r="AS89" s="28"/>
      <c r="AT89" s="28"/>
    </row>
    <row r="90" spans="1:46" s="10" customFormat="1" ht="18" customHeight="1">
      <c r="B90" s="86"/>
      <c r="C90" s="98"/>
      <c r="D90" s="1034"/>
      <c r="E90" s="1034"/>
      <c r="F90" s="135" t="s">
        <v>103</v>
      </c>
      <c r="G90" s="88" t="s">
        <v>104</v>
      </c>
      <c r="H90" s="134">
        <v>896120</v>
      </c>
      <c r="I90" s="405"/>
      <c r="J90" s="403">
        <v>896120</v>
      </c>
      <c r="K90" s="405"/>
      <c r="L90" s="134">
        <v>801510</v>
      </c>
      <c r="M90" s="662"/>
      <c r="N90" s="406">
        <f t="shared" si="20"/>
        <v>2593750</v>
      </c>
      <c r="O90" s="407"/>
      <c r="P90" s="403"/>
      <c r="Q90" s="405"/>
      <c r="R90" s="403"/>
      <c r="S90" s="405"/>
      <c r="T90" s="403"/>
      <c r="U90" s="662"/>
      <c r="V90" s="408">
        <f t="shared" si="16"/>
        <v>0</v>
      </c>
      <c r="W90" s="407"/>
      <c r="X90" s="403"/>
      <c r="Y90" s="405"/>
      <c r="Z90" s="403"/>
      <c r="AA90" s="405"/>
      <c r="AB90" s="403"/>
      <c r="AC90" s="662"/>
      <c r="AD90" s="406">
        <f t="shared" si="17"/>
        <v>0</v>
      </c>
      <c r="AE90" s="407"/>
      <c r="AF90" s="403"/>
      <c r="AG90" s="405"/>
      <c r="AH90" s="403"/>
      <c r="AI90" s="405"/>
      <c r="AJ90" s="403"/>
      <c r="AK90" s="662"/>
      <c r="AL90" s="406">
        <f t="shared" si="18"/>
        <v>0</v>
      </c>
      <c r="AM90" s="407"/>
      <c r="AN90" s="584">
        <f t="shared" si="21"/>
        <v>2593750</v>
      </c>
      <c r="AO90" s="40"/>
      <c r="AP90" s="28"/>
      <c r="AQ90" s="28"/>
      <c r="AR90" s="28"/>
      <c r="AS90" s="28"/>
    </row>
    <row r="91" spans="1:46" s="10" customFormat="1" ht="18" customHeight="1">
      <c r="A91" s="5"/>
      <c r="B91" s="86"/>
      <c r="C91" s="98"/>
      <c r="D91" s="1065" t="s">
        <v>505</v>
      </c>
      <c r="E91" s="1066"/>
      <c r="F91" s="1066"/>
      <c r="G91" s="1067"/>
      <c r="H91" s="605">
        <f>SUM(H84:H90)</f>
        <v>1009980</v>
      </c>
      <c r="I91" s="606"/>
      <c r="J91" s="605">
        <f>SUM(J84:J90)</f>
        <v>896120</v>
      </c>
      <c r="K91" s="606"/>
      <c r="L91" s="605">
        <f>SUM(L84:L90)</f>
        <v>801510</v>
      </c>
      <c r="M91" s="679"/>
      <c r="N91" s="607">
        <f t="shared" si="20"/>
        <v>2707610</v>
      </c>
      <c r="O91" s="608"/>
      <c r="P91" s="605">
        <f>SUM(P84:P90)</f>
        <v>0</v>
      </c>
      <c r="Q91" s="606"/>
      <c r="R91" s="605">
        <f>SUM(R84:R90)</f>
        <v>0</v>
      </c>
      <c r="S91" s="606"/>
      <c r="T91" s="605">
        <f>SUM(T84:T90)</f>
        <v>0</v>
      </c>
      <c r="U91" s="679"/>
      <c r="V91" s="609">
        <f t="shared" si="16"/>
        <v>0</v>
      </c>
      <c r="W91" s="608"/>
      <c r="X91" s="605">
        <f>SUM(X84:X90)</f>
        <v>0</v>
      </c>
      <c r="Y91" s="606"/>
      <c r="Z91" s="605">
        <f>SUM(Z84:Z90)</f>
        <v>0</v>
      </c>
      <c r="AA91" s="606"/>
      <c r="AB91" s="605">
        <f>SUM(AB84:AB90)</f>
        <v>0</v>
      </c>
      <c r="AC91" s="679"/>
      <c r="AD91" s="607">
        <f t="shared" si="17"/>
        <v>0</v>
      </c>
      <c r="AE91" s="608"/>
      <c r="AF91" s="605">
        <f>SUM(AF84:AF90)</f>
        <v>0</v>
      </c>
      <c r="AG91" s="606"/>
      <c r="AH91" s="605">
        <f>SUM(AH84:AH90)</f>
        <v>0</v>
      </c>
      <c r="AI91" s="606"/>
      <c r="AJ91" s="605">
        <f>SUM(AJ84:AJ90)</f>
        <v>0</v>
      </c>
      <c r="AK91" s="679"/>
      <c r="AL91" s="609">
        <f t="shared" si="18"/>
        <v>0</v>
      </c>
      <c r="AM91" s="608"/>
      <c r="AN91" s="609">
        <f t="shared" si="21"/>
        <v>2707610</v>
      </c>
      <c r="AO91" s="610"/>
      <c r="AP91" s="28"/>
      <c r="AQ91" s="28"/>
      <c r="AR91" s="28"/>
      <c r="AS91" s="28"/>
      <c r="AT91" s="28"/>
    </row>
    <row r="92" spans="1:46" s="10" customFormat="1" ht="18" customHeight="1">
      <c r="A92" s="5"/>
      <c r="B92" s="86"/>
      <c r="C92" s="98"/>
      <c r="D92" s="1035" t="s">
        <v>139</v>
      </c>
      <c r="E92" s="1035" t="s">
        <v>139</v>
      </c>
      <c r="F92" s="537" t="s">
        <v>140</v>
      </c>
      <c r="G92" s="133" t="s">
        <v>141</v>
      </c>
      <c r="H92" s="31">
        <v>4500000</v>
      </c>
      <c r="I92" s="90"/>
      <c r="J92" s="31">
        <v>4500000</v>
      </c>
      <c r="K92" s="90"/>
      <c r="L92" s="31">
        <v>4500000</v>
      </c>
      <c r="M92" s="661"/>
      <c r="N92" s="89">
        <f t="shared" si="20"/>
        <v>13500000</v>
      </c>
      <c r="O92" s="34"/>
      <c r="P92" s="31"/>
      <c r="Q92" s="90"/>
      <c r="R92" s="31"/>
      <c r="S92" s="90"/>
      <c r="T92" s="31"/>
      <c r="U92" s="661"/>
      <c r="V92" s="101">
        <f t="shared" si="16"/>
        <v>0</v>
      </c>
      <c r="W92" s="34"/>
      <c r="X92" s="31"/>
      <c r="Y92" s="90"/>
      <c r="Z92" s="31"/>
      <c r="AA92" s="90"/>
      <c r="AB92" s="31"/>
      <c r="AC92" s="661"/>
      <c r="AD92" s="89">
        <f t="shared" si="17"/>
        <v>0</v>
      </c>
      <c r="AE92" s="34"/>
      <c r="AF92" s="31"/>
      <c r="AG92" s="90"/>
      <c r="AH92" s="31"/>
      <c r="AI92" s="90"/>
      <c r="AJ92" s="31"/>
      <c r="AK92" s="661"/>
      <c r="AL92" s="101">
        <f t="shared" si="18"/>
        <v>0</v>
      </c>
      <c r="AM92" s="34"/>
      <c r="AN92" s="585">
        <f t="shared" si="21"/>
        <v>13500000</v>
      </c>
      <c r="AO92" s="40"/>
      <c r="AP92" s="28"/>
      <c r="AQ92" s="28"/>
      <c r="AR92" s="28"/>
      <c r="AS92" s="28"/>
      <c r="AT92" s="28"/>
    </row>
    <row r="93" spans="1:46" s="10" customFormat="1" ht="18" customHeight="1">
      <c r="A93" s="5"/>
      <c r="B93" s="86"/>
      <c r="C93" s="98"/>
      <c r="D93" s="1036"/>
      <c r="E93" s="1036"/>
      <c r="F93" s="537" t="s">
        <v>142</v>
      </c>
      <c r="G93" s="88" t="s">
        <v>143</v>
      </c>
      <c r="H93" s="31">
        <v>26273</v>
      </c>
      <c r="I93" s="90"/>
      <c r="J93" s="31">
        <v>52546</v>
      </c>
      <c r="K93" s="90"/>
      <c r="L93" s="31">
        <v>52546</v>
      </c>
      <c r="M93" s="661"/>
      <c r="N93" s="89">
        <f t="shared" si="20"/>
        <v>131365</v>
      </c>
      <c r="O93" s="34"/>
      <c r="P93" s="31"/>
      <c r="Q93" s="90"/>
      <c r="R93" s="31"/>
      <c r="S93" s="90"/>
      <c r="T93" s="31"/>
      <c r="U93" s="661"/>
      <c r="V93" s="101">
        <f t="shared" si="16"/>
        <v>0</v>
      </c>
      <c r="W93" s="34"/>
      <c r="X93" s="31"/>
      <c r="Y93" s="90"/>
      <c r="Z93" s="31"/>
      <c r="AA93" s="90"/>
      <c r="AB93" s="31"/>
      <c r="AC93" s="661"/>
      <c r="AD93" s="89">
        <f t="shared" si="17"/>
        <v>0</v>
      </c>
      <c r="AE93" s="34"/>
      <c r="AF93" s="31"/>
      <c r="AG93" s="90"/>
      <c r="AH93" s="31"/>
      <c r="AI93" s="90"/>
      <c r="AJ93" s="31"/>
      <c r="AK93" s="661"/>
      <c r="AL93" s="101">
        <f t="shared" si="18"/>
        <v>0</v>
      </c>
      <c r="AM93" s="34"/>
      <c r="AN93" s="585">
        <f t="shared" si="21"/>
        <v>131365</v>
      </c>
      <c r="AO93" s="40"/>
      <c r="AP93" s="71"/>
      <c r="AQ93" s="28"/>
      <c r="AR93" s="28"/>
      <c r="AS93" s="28"/>
      <c r="AT93" s="28"/>
    </row>
    <row r="94" spans="1:46" s="10" customFormat="1" ht="18" customHeight="1">
      <c r="A94" s="5"/>
      <c r="B94" s="86"/>
      <c r="C94" s="98"/>
      <c r="D94" s="1036"/>
      <c r="E94" s="1036"/>
      <c r="F94" s="537" t="s">
        <v>144</v>
      </c>
      <c r="G94" s="88" t="s">
        <v>634</v>
      </c>
      <c r="H94" s="93">
        <v>600000</v>
      </c>
      <c r="I94" s="90"/>
      <c r="J94" s="93">
        <v>600000</v>
      </c>
      <c r="K94" s="90"/>
      <c r="L94" s="93">
        <v>1920000</v>
      </c>
      <c r="M94" s="661"/>
      <c r="N94" s="89">
        <f t="shared" si="20"/>
        <v>3120000</v>
      </c>
      <c r="O94" s="34"/>
      <c r="P94" s="93"/>
      <c r="Q94" s="90"/>
      <c r="R94" s="93"/>
      <c r="S94" s="90"/>
      <c r="T94" s="93"/>
      <c r="U94" s="661"/>
      <c r="V94" s="101">
        <f t="shared" si="16"/>
        <v>0</v>
      </c>
      <c r="W94" s="34"/>
      <c r="X94" s="93"/>
      <c r="Y94" s="90"/>
      <c r="Z94" s="93"/>
      <c r="AA94" s="90"/>
      <c r="AB94" s="93"/>
      <c r="AC94" s="661"/>
      <c r="AD94" s="89">
        <f t="shared" si="17"/>
        <v>0</v>
      </c>
      <c r="AE94" s="34"/>
      <c r="AF94" s="93"/>
      <c r="AG94" s="90"/>
      <c r="AH94" s="93"/>
      <c r="AI94" s="90"/>
      <c r="AJ94" s="93"/>
      <c r="AK94" s="661"/>
      <c r="AL94" s="101">
        <f t="shared" si="18"/>
        <v>0</v>
      </c>
      <c r="AM94" s="34"/>
      <c r="AN94" s="585">
        <f t="shared" si="21"/>
        <v>3120000</v>
      </c>
      <c r="AO94" s="40"/>
      <c r="AP94" s="71" t="s">
        <v>145</v>
      </c>
      <c r="AQ94" s="28"/>
      <c r="AR94" s="28"/>
      <c r="AS94" s="28"/>
      <c r="AT94" s="28"/>
    </row>
    <row r="95" spans="1:46" s="10" customFormat="1" ht="18" customHeight="1">
      <c r="A95" s="5"/>
      <c r="B95" s="86"/>
      <c r="C95" s="98"/>
      <c r="D95" s="1036"/>
      <c r="E95" s="1036"/>
      <c r="F95" s="537" t="s">
        <v>144</v>
      </c>
      <c r="G95" s="88" t="s">
        <v>585</v>
      </c>
      <c r="H95" s="93">
        <v>2750000</v>
      </c>
      <c r="I95" s="90"/>
      <c r="J95" s="93">
        <v>2500000</v>
      </c>
      <c r="K95" s="90"/>
      <c r="L95" s="93">
        <v>2500000</v>
      </c>
      <c r="M95" s="661"/>
      <c r="N95" s="89">
        <f t="shared" si="20"/>
        <v>7750000</v>
      </c>
      <c r="O95" s="34"/>
      <c r="P95" s="93"/>
      <c r="Q95" s="90"/>
      <c r="R95" s="93"/>
      <c r="S95" s="90"/>
      <c r="T95" s="93"/>
      <c r="U95" s="661"/>
      <c r="V95" s="101">
        <f t="shared" si="16"/>
        <v>0</v>
      </c>
      <c r="W95" s="34"/>
      <c r="X95" s="93"/>
      <c r="Y95" s="90"/>
      <c r="Z95" s="93"/>
      <c r="AA95" s="90"/>
      <c r="AB95" s="93"/>
      <c r="AC95" s="661"/>
      <c r="AD95" s="89">
        <f t="shared" si="17"/>
        <v>0</v>
      </c>
      <c r="AE95" s="34"/>
      <c r="AF95" s="93"/>
      <c r="AG95" s="90"/>
      <c r="AH95" s="93"/>
      <c r="AI95" s="90"/>
      <c r="AJ95" s="93"/>
      <c r="AK95" s="661"/>
      <c r="AL95" s="101">
        <f t="shared" si="18"/>
        <v>0</v>
      </c>
      <c r="AM95" s="34"/>
      <c r="AN95" s="585">
        <f t="shared" si="21"/>
        <v>7750000</v>
      </c>
      <c r="AO95" s="40"/>
      <c r="AP95" s="71" t="s">
        <v>145</v>
      </c>
      <c r="AQ95" s="28"/>
      <c r="AR95" s="28"/>
      <c r="AS95" s="28"/>
      <c r="AT95" s="28"/>
    </row>
    <row r="96" spans="1:46" s="10" customFormat="1" ht="18" customHeight="1">
      <c r="A96" s="5"/>
      <c r="B96" s="86"/>
      <c r="C96" s="98"/>
      <c r="D96" s="1036"/>
      <c r="E96" s="1036"/>
      <c r="F96" s="537" t="s">
        <v>146</v>
      </c>
      <c r="G96" s="88" t="s">
        <v>147</v>
      </c>
      <c r="H96" s="93">
        <v>5600000</v>
      </c>
      <c r="I96" s="90"/>
      <c r="J96" s="93">
        <v>5600000</v>
      </c>
      <c r="K96" s="90"/>
      <c r="L96" s="93">
        <v>5600000</v>
      </c>
      <c r="M96" s="661"/>
      <c r="N96" s="89">
        <f t="shared" si="20"/>
        <v>16800000</v>
      </c>
      <c r="O96" s="34"/>
      <c r="P96" s="93"/>
      <c r="Q96" s="90"/>
      <c r="R96" s="93"/>
      <c r="S96" s="90"/>
      <c r="T96" s="93"/>
      <c r="U96" s="661"/>
      <c r="V96" s="101">
        <f t="shared" si="16"/>
        <v>0</v>
      </c>
      <c r="W96" s="34"/>
      <c r="X96" s="93"/>
      <c r="Y96" s="90"/>
      <c r="Z96" s="93"/>
      <c r="AA96" s="90"/>
      <c r="AB96" s="93"/>
      <c r="AC96" s="661"/>
      <c r="AD96" s="89">
        <f t="shared" si="17"/>
        <v>0</v>
      </c>
      <c r="AE96" s="34"/>
      <c r="AF96" s="93"/>
      <c r="AG96" s="90"/>
      <c r="AH96" s="93"/>
      <c r="AI96" s="90"/>
      <c r="AJ96" s="93"/>
      <c r="AK96" s="661"/>
      <c r="AL96" s="101">
        <f t="shared" si="18"/>
        <v>0</v>
      </c>
      <c r="AM96" s="34"/>
      <c r="AN96" s="585">
        <f t="shared" si="21"/>
        <v>16800000</v>
      </c>
      <c r="AO96" s="40"/>
      <c r="AP96" s="71"/>
      <c r="AQ96" s="28"/>
      <c r="AR96" s="28"/>
      <c r="AS96" s="28"/>
      <c r="AT96" s="28"/>
    </row>
    <row r="97" spans="1:46" s="10" customFormat="1" ht="18" customHeight="1">
      <c r="A97" s="5"/>
      <c r="B97" s="86"/>
      <c r="C97" s="98"/>
      <c r="D97" s="1036"/>
      <c r="E97" s="1036"/>
      <c r="F97" s="537" t="s">
        <v>148</v>
      </c>
      <c r="G97" s="88" t="s">
        <v>149</v>
      </c>
      <c r="H97" s="30">
        <v>400000</v>
      </c>
      <c r="I97" s="90"/>
      <c r="J97" s="30">
        <v>400000</v>
      </c>
      <c r="K97" s="90"/>
      <c r="L97" s="30">
        <v>400000</v>
      </c>
      <c r="M97" s="661"/>
      <c r="N97" s="89">
        <f>SUM(H97,J97,L97)</f>
        <v>1200000</v>
      </c>
      <c r="O97" s="34"/>
      <c r="P97" s="30"/>
      <c r="Q97" s="90"/>
      <c r="R97" s="30"/>
      <c r="S97" s="90"/>
      <c r="T97" s="30"/>
      <c r="U97" s="661"/>
      <c r="V97" s="101">
        <f>SUM(P97,R97,T97)</f>
        <v>0</v>
      </c>
      <c r="W97" s="34"/>
      <c r="X97" s="30"/>
      <c r="Y97" s="90"/>
      <c r="Z97" s="30"/>
      <c r="AA97" s="90"/>
      <c r="AB97" s="30"/>
      <c r="AC97" s="661"/>
      <c r="AD97" s="89">
        <f>SUM(X97,Z97,AB97)</f>
        <v>0</v>
      </c>
      <c r="AE97" s="34"/>
      <c r="AF97" s="30"/>
      <c r="AG97" s="90"/>
      <c r="AH97" s="30"/>
      <c r="AI97" s="90"/>
      <c r="AJ97" s="30"/>
      <c r="AK97" s="661"/>
      <c r="AL97" s="101">
        <f>SUM(AF97,AH97,AJ97)</f>
        <v>0</v>
      </c>
      <c r="AM97" s="34"/>
      <c r="AN97" s="585">
        <f t="shared" si="21"/>
        <v>1200000</v>
      </c>
      <c r="AO97" s="40"/>
      <c r="AP97" s="28"/>
      <c r="AQ97" s="28"/>
      <c r="AR97" s="28"/>
      <c r="AS97" s="28"/>
      <c r="AT97" s="28"/>
    </row>
    <row r="98" spans="1:46" s="10" customFormat="1" ht="18" hidden="1" customHeight="1">
      <c r="A98" s="5"/>
      <c r="B98" s="86"/>
      <c r="C98" s="98"/>
      <c r="D98" s="1037"/>
      <c r="E98" s="1037"/>
      <c r="F98" s="537" t="s">
        <v>250</v>
      </c>
      <c r="G98" s="133" t="s">
        <v>251</v>
      </c>
      <c r="H98" s="30">
        <v>0</v>
      </c>
      <c r="I98" s="90"/>
      <c r="J98" s="30">
        <v>0</v>
      </c>
      <c r="K98" s="90"/>
      <c r="L98" s="32">
        <v>0</v>
      </c>
      <c r="M98" s="90"/>
      <c r="N98" s="89">
        <f>SUM(H98,J98,L98)</f>
        <v>0</v>
      </c>
      <c r="O98" s="34"/>
      <c r="P98" s="32"/>
      <c r="Q98" s="90"/>
      <c r="R98" s="32"/>
      <c r="S98" s="90"/>
      <c r="T98" s="32"/>
      <c r="U98" s="90"/>
      <c r="V98" s="89">
        <f>SUM(P98,R98,T98)</f>
        <v>0</v>
      </c>
      <c r="W98" s="36"/>
      <c r="X98" s="32"/>
      <c r="Y98" s="90"/>
      <c r="Z98" s="32"/>
      <c r="AA98" s="90"/>
      <c r="AB98" s="32"/>
      <c r="AC98" s="90"/>
      <c r="AD98" s="91">
        <f>SUM(X98,Z98,AB98)</f>
        <v>0</v>
      </c>
      <c r="AE98" s="36"/>
      <c r="AF98" s="32"/>
      <c r="AG98" s="90"/>
      <c r="AH98" s="32"/>
      <c r="AI98" s="90"/>
      <c r="AJ98" s="32"/>
      <c r="AK98" s="90"/>
      <c r="AL98" s="92">
        <f>SUM(AF98,AH98,AJ98)</f>
        <v>0</v>
      </c>
      <c r="AM98" s="36"/>
      <c r="AN98" s="585">
        <f t="shared" si="21"/>
        <v>0</v>
      </c>
      <c r="AO98" s="40"/>
      <c r="AP98" s="28"/>
      <c r="AQ98" s="28"/>
      <c r="AR98" s="28"/>
      <c r="AS98" s="28"/>
      <c r="AT98" s="28"/>
    </row>
    <row r="99" spans="1:46" s="10" customFormat="1" ht="18" customHeight="1">
      <c r="A99" s="5"/>
      <c r="B99" s="86"/>
      <c r="C99" s="98"/>
      <c r="D99" s="1038" t="s">
        <v>506</v>
      </c>
      <c r="E99" s="1039"/>
      <c r="F99" s="1039"/>
      <c r="G99" s="1040"/>
      <c r="H99" s="611">
        <f>SUM(H92:H98)</f>
        <v>13876273</v>
      </c>
      <c r="I99" s="612"/>
      <c r="J99" s="611">
        <f>SUM(J92:J98)</f>
        <v>13652546</v>
      </c>
      <c r="K99" s="612"/>
      <c r="L99" s="611">
        <f>SUM(L92:L98)</f>
        <v>14972546</v>
      </c>
      <c r="M99" s="680"/>
      <c r="N99" s="613">
        <f t="shared" si="20"/>
        <v>42501365</v>
      </c>
      <c r="O99" s="614"/>
      <c r="P99" s="611">
        <f>SUM(P92:P98)</f>
        <v>0</v>
      </c>
      <c r="Q99" s="612"/>
      <c r="R99" s="611">
        <f>SUM(R92:R98)</f>
        <v>0</v>
      </c>
      <c r="S99" s="612"/>
      <c r="T99" s="611">
        <f>SUM(T92:T98)</f>
        <v>0</v>
      </c>
      <c r="U99" s="680"/>
      <c r="V99" s="615">
        <f t="shared" si="16"/>
        <v>0</v>
      </c>
      <c r="W99" s="614"/>
      <c r="X99" s="611">
        <f>SUM(X92:X98)</f>
        <v>0</v>
      </c>
      <c r="Y99" s="612"/>
      <c r="Z99" s="611">
        <f>SUM(Z92:Z98)</f>
        <v>0</v>
      </c>
      <c r="AA99" s="612"/>
      <c r="AB99" s="611">
        <f>SUM(AB92:AB98)</f>
        <v>0</v>
      </c>
      <c r="AC99" s="680"/>
      <c r="AD99" s="613">
        <f t="shared" si="17"/>
        <v>0</v>
      </c>
      <c r="AE99" s="614"/>
      <c r="AF99" s="611">
        <f>SUM(AF92:AF98)</f>
        <v>0</v>
      </c>
      <c r="AG99" s="612"/>
      <c r="AH99" s="611">
        <f>SUM(AH92:AH98)</f>
        <v>0</v>
      </c>
      <c r="AI99" s="612"/>
      <c r="AJ99" s="611">
        <f>SUM(AJ92:AJ98)</f>
        <v>0</v>
      </c>
      <c r="AK99" s="680"/>
      <c r="AL99" s="615">
        <f t="shared" si="18"/>
        <v>0</v>
      </c>
      <c r="AM99" s="614"/>
      <c r="AN99" s="615">
        <f t="shared" si="21"/>
        <v>42501365</v>
      </c>
      <c r="AO99" s="616"/>
      <c r="AP99" s="28"/>
      <c r="AQ99" s="28"/>
      <c r="AR99" s="28"/>
      <c r="AS99" s="28"/>
      <c r="AT99" s="28"/>
    </row>
    <row r="100" spans="1:46" s="10" customFormat="1" ht="18" hidden="1" customHeight="1">
      <c r="A100" s="5"/>
      <c r="B100" s="86"/>
      <c r="C100" s="98"/>
      <c r="D100" s="1092" t="s">
        <v>170</v>
      </c>
      <c r="E100" s="1092" t="s">
        <v>170</v>
      </c>
      <c r="F100" s="536" t="s">
        <v>171</v>
      </c>
      <c r="G100" s="133" t="s">
        <v>172</v>
      </c>
      <c r="H100" s="31">
        <v>0</v>
      </c>
      <c r="I100" s="90"/>
      <c r="J100" s="31">
        <v>0</v>
      </c>
      <c r="K100" s="90"/>
      <c r="L100" s="31"/>
      <c r="M100" s="661"/>
      <c r="N100" s="89">
        <f t="shared" si="20"/>
        <v>0</v>
      </c>
      <c r="O100" s="34"/>
      <c r="P100" s="31"/>
      <c r="Q100" s="90"/>
      <c r="R100" s="31"/>
      <c r="S100" s="90"/>
      <c r="T100" s="31"/>
      <c r="U100" s="661"/>
      <c r="V100" s="101">
        <f t="shared" si="16"/>
        <v>0</v>
      </c>
      <c r="W100" s="34"/>
      <c r="X100" s="31"/>
      <c r="Y100" s="90"/>
      <c r="Z100" s="31"/>
      <c r="AA100" s="90"/>
      <c r="AB100" s="31"/>
      <c r="AC100" s="661"/>
      <c r="AD100" s="89">
        <f t="shared" si="17"/>
        <v>0</v>
      </c>
      <c r="AE100" s="34"/>
      <c r="AF100" s="31"/>
      <c r="AG100" s="90"/>
      <c r="AH100" s="31"/>
      <c r="AI100" s="90"/>
      <c r="AJ100" s="31"/>
      <c r="AK100" s="661"/>
      <c r="AL100" s="101">
        <f t="shared" si="18"/>
        <v>0</v>
      </c>
      <c r="AM100" s="34"/>
      <c r="AN100" s="585">
        <f t="shared" si="21"/>
        <v>0</v>
      </c>
      <c r="AO100" s="40"/>
      <c r="AP100" s="28"/>
      <c r="AQ100" s="28"/>
      <c r="AR100" s="28"/>
      <c r="AS100" s="28"/>
      <c r="AT100" s="28"/>
    </row>
    <row r="101" spans="1:46" s="10" customFormat="1" ht="18" hidden="1" customHeight="1">
      <c r="A101" s="5"/>
      <c r="B101" s="86"/>
      <c r="C101" s="98"/>
      <c r="D101" s="1092"/>
      <c r="E101" s="1092"/>
      <c r="F101" s="536" t="s">
        <v>173</v>
      </c>
      <c r="G101" s="133" t="s">
        <v>174</v>
      </c>
      <c r="H101" s="31">
        <v>0</v>
      </c>
      <c r="I101" s="90"/>
      <c r="J101" s="31">
        <v>0</v>
      </c>
      <c r="K101" s="90"/>
      <c r="L101" s="31"/>
      <c r="M101" s="661"/>
      <c r="N101" s="89">
        <f t="shared" si="20"/>
        <v>0</v>
      </c>
      <c r="O101" s="34"/>
      <c r="P101" s="31"/>
      <c r="Q101" s="90"/>
      <c r="R101" s="31"/>
      <c r="S101" s="90"/>
      <c r="T101" s="31"/>
      <c r="U101" s="661"/>
      <c r="V101" s="101">
        <f t="shared" si="16"/>
        <v>0</v>
      </c>
      <c r="W101" s="34"/>
      <c r="X101" s="31"/>
      <c r="Y101" s="90"/>
      <c r="Z101" s="31"/>
      <c r="AA101" s="90"/>
      <c r="AB101" s="31"/>
      <c r="AC101" s="661"/>
      <c r="AD101" s="89">
        <f t="shared" si="17"/>
        <v>0</v>
      </c>
      <c r="AE101" s="34"/>
      <c r="AF101" s="31"/>
      <c r="AG101" s="90"/>
      <c r="AH101" s="31"/>
      <c r="AI101" s="90"/>
      <c r="AJ101" s="31"/>
      <c r="AK101" s="661"/>
      <c r="AL101" s="101">
        <f t="shared" si="18"/>
        <v>0</v>
      </c>
      <c r="AM101" s="34"/>
      <c r="AN101" s="585">
        <f t="shared" si="21"/>
        <v>0</v>
      </c>
      <c r="AO101" s="40"/>
      <c r="AP101" s="28"/>
      <c r="AQ101" s="28"/>
      <c r="AR101" s="28"/>
      <c r="AS101" s="28"/>
      <c r="AT101" s="28"/>
    </row>
    <row r="102" spans="1:46" s="10" customFormat="1" ht="18" hidden="1" customHeight="1">
      <c r="A102" s="5"/>
      <c r="B102" s="86"/>
      <c r="C102" s="98"/>
      <c r="D102" s="1092"/>
      <c r="E102" s="1092"/>
      <c r="F102" s="536" t="s">
        <v>175</v>
      </c>
      <c r="G102" s="133" t="s">
        <v>176</v>
      </c>
      <c r="H102" s="31">
        <v>0</v>
      </c>
      <c r="I102" s="90"/>
      <c r="J102" s="31">
        <v>0</v>
      </c>
      <c r="K102" s="90"/>
      <c r="L102" s="31"/>
      <c r="M102" s="661"/>
      <c r="N102" s="89">
        <f t="shared" si="20"/>
        <v>0</v>
      </c>
      <c r="O102" s="34"/>
      <c r="P102" s="31"/>
      <c r="Q102" s="90"/>
      <c r="R102" s="31"/>
      <c r="S102" s="90"/>
      <c r="T102" s="31"/>
      <c r="U102" s="661"/>
      <c r="V102" s="101">
        <f t="shared" si="16"/>
        <v>0</v>
      </c>
      <c r="W102" s="34"/>
      <c r="X102" s="31"/>
      <c r="Y102" s="90"/>
      <c r="Z102" s="31"/>
      <c r="AA102" s="90"/>
      <c r="AB102" s="31"/>
      <c r="AC102" s="661"/>
      <c r="AD102" s="89">
        <f t="shared" si="17"/>
        <v>0</v>
      </c>
      <c r="AE102" s="34"/>
      <c r="AF102" s="31"/>
      <c r="AG102" s="90"/>
      <c r="AH102" s="31"/>
      <c r="AI102" s="90"/>
      <c r="AJ102" s="31"/>
      <c r="AK102" s="661"/>
      <c r="AL102" s="101">
        <f t="shared" si="18"/>
        <v>0</v>
      </c>
      <c r="AM102" s="34"/>
      <c r="AN102" s="585">
        <f t="shared" si="21"/>
        <v>0</v>
      </c>
      <c r="AO102" s="40"/>
      <c r="AP102" s="28"/>
      <c r="AQ102" s="28"/>
      <c r="AR102" s="28"/>
      <c r="AS102" s="28"/>
      <c r="AT102" s="28"/>
    </row>
    <row r="103" spans="1:46" s="10" customFormat="1" ht="18" customHeight="1">
      <c r="A103" s="5"/>
      <c r="B103" s="86"/>
      <c r="C103" s="98"/>
      <c r="D103" s="1092"/>
      <c r="E103" s="1092"/>
      <c r="F103" s="536" t="s">
        <v>177</v>
      </c>
      <c r="G103" s="133" t="s">
        <v>178</v>
      </c>
      <c r="H103" s="31">
        <v>0</v>
      </c>
      <c r="I103" s="90"/>
      <c r="J103" s="31">
        <v>250000</v>
      </c>
      <c r="K103" s="90"/>
      <c r="L103" s="31">
        <v>0</v>
      </c>
      <c r="M103" s="661"/>
      <c r="N103" s="89">
        <f t="shared" si="20"/>
        <v>250000</v>
      </c>
      <c r="O103" s="34"/>
      <c r="P103" s="31"/>
      <c r="Q103" s="90"/>
      <c r="R103" s="31"/>
      <c r="S103" s="90"/>
      <c r="T103" s="31"/>
      <c r="U103" s="661"/>
      <c r="V103" s="101">
        <f t="shared" si="16"/>
        <v>0</v>
      </c>
      <c r="W103" s="34"/>
      <c r="X103" s="31"/>
      <c r="Y103" s="90"/>
      <c r="Z103" s="31"/>
      <c r="AA103" s="90"/>
      <c r="AB103" s="31"/>
      <c r="AC103" s="661"/>
      <c r="AD103" s="89">
        <f t="shared" si="17"/>
        <v>0</v>
      </c>
      <c r="AE103" s="34"/>
      <c r="AF103" s="31"/>
      <c r="AG103" s="90"/>
      <c r="AH103" s="31"/>
      <c r="AI103" s="90"/>
      <c r="AJ103" s="31"/>
      <c r="AK103" s="661"/>
      <c r="AL103" s="101">
        <f t="shared" si="18"/>
        <v>0</v>
      </c>
      <c r="AM103" s="34"/>
      <c r="AN103" s="585">
        <f t="shared" si="21"/>
        <v>250000</v>
      </c>
      <c r="AO103" s="40"/>
      <c r="AP103" s="28"/>
      <c r="AQ103" s="28"/>
      <c r="AR103" s="28"/>
      <c r="AS103" s="28"/>
      <c r="AT103" s="28"/>
    </row>
    <row r="104" spans="1:46" s="10" customFormat="1" ht="18" customHeight="1">
      <c r="A104" s="5"/>
      <c r="B104" s="86"/>
      <c r="C104" s="98"/>
      <c r="D104" s="1092"/>
      <c r="E104" s="1092"/>
      <c r="F104" s="536" t="s">
        <v>179</v>
      </c>
      <c r="G104" s="133" t="s">
        <v>180</v>
      </c>
      <c r="H104" s="31">
        <v>0</v>
      </c>
      <c r="I104" s="90"/>
      <c r="J104" s="31">
        <v>0</v>
      </c>
      <c r="K104" s="90"/>
      <c r="L104" s="31">
        <v>0</v>
      </c>
      <c r="M104" s="661"/>
      <c r="N104" s="89">
        <f t="shared" si="20"/>
        <v>0</v>
      </c>
      <c r="O104" s="34"/>
      <c r="P104" s="31"/>
      <c r="Q104" s="90"/>
      <c r="R104" s="31"/>
      <c r="S104" s="90"/>
      <c r="T104" s="31"/>
      <c r="U104" s="661"/>
      <c r="V104" s="101">
        <f t="shared" si="16"/>
        <v>0</v>
      </c>
      <c r="W104" s="34"/>
      <c r="X104" s="31"/>
      <c r="Y104" s="90"/>
      <c r="Z104" s="31"/>
      <c r="AA104" s="90"/>
      <c r="AB104" s="31"/>
      <c r="AC104" s="661"/>
      <c r="AD104" s="89">
        <f t="shared" si="17"/>
        <v>0</v>
      </c>
      <c r="AE104" s="34"/>
      <c r="AF104" s="31"/>
      <c r="AG104" s="90"/>
      <c r="AH104" s="31"/>
      <c r="AI104" s="90"/>
      <c r="AJ104" s="31"/>
      <c r="AK104" s="661"/>
      <c r="AL104" s="101">
        <f t="shared" si="18"/>
        <v>0</v>
      </c>
      <c r="AM104" s="34"/>
      <c r="AN104" s="585">
        <f t="shared" si="21"/>
        <v>0</v>
      </c>
      <c r="AO104" s="40"/>
      <c r="AP104" s="28"/>
      <c r="AQ104" s="28"/>
      <c r="AR104" s="28"/>
      <c r="AS104" s="28"/>
      <c r="AT104" s="28"/>
    </row>
    <row r="105" spans="1:46" s="10" customFormat="1" ht="18" customHeight="1">
      <c r="A105" s="5"/>
      <c r="B105" s="86"/>
      <c r="C105" s="98"/>
      <c r="D105" s="1092"/>
      <c r="E105" s="1092"/>
      <c r="F105" s="536" t="s">
        <v>295</v>
      </c>
      <c r="G105" s="133" t="s">
        <v>588</v>
      </c>
      <c r="H105" s="31">
        <v>0</v>
      </c>
      <c r="I105" s="90"/>
      <c r="J105" s="31">
        <v>510000</v>
      </c>
      <c r="K105" s="90"/>
      <c r="L105" s="31">
        <v>0</v>
      </c>
      <c r="M105" s="661"/>
      <c r="N105" s="89">
        <f t="shared" si="20"/>
        <v>510000</v>
      </c>
      <c r="O105" s="34"/>
      <c r="P105" s="31"/>
      <c r="Q105" s="90"/>
      <c r="R105" s="31"/>
      <c r="S105" s="90"/>
      <c r="T105" s="31"/>
      <c r="U105" s="661"/>
      <c r="V105" s="101">
        <f t="shared" si="16"/>
        <v>0</v>
      </c>
      <c r="W105" s="34"/>
      <c r="X105" s="31"/>
      <c r="Y105" s="90"/>
      <c r="Z105" s="31"/>
      <c r="AA105" s="90"/>
      <c r="AB105" s="31"/>
      <c r="AC105" s="661"/>
      <c r="AD105" s="89">
        <f t="shared" si="17"/>
        <v>0</v>
      </c>
      <c r="AE105" s="34"/>
      <c r="AF105" s="31"/>
      <c r="AG105" s="90"/>
      <c r="AH105" s="31"/>
      <c r="AI105" s="90"/>
      <c r="AJ105" s="31"/>
      <c r="AK105" s="661"/>
      <c r="AL105" s="101">
        <f t="shared" si="18"/>
        <v>0</v>
      </c>
      <c r="AM105" s="34"/>
      <c r="AN105" s="585">
        <f t="shared" si="21"/>
        <v>510000</v>
      </c>
      <c r="AO105" s="40"/>
      <c r="AP105" s="28"/>
      <c r="AQ105" s="28"/>
      <c r="AR105" s="28"/>
      <c r="AS105" s="28"/>
      <c r="AT105" s="28"/>
    </row>
    <row r="106" spans="1:46" s="10" customFormat="1" ht="18" customHeight="1">
      <c r="A106" s="5"/>
      <c r="B106" s="86"/>
      <c r="C106" s="98"/>
      <c r="D106" s="1092"/>
      <c r="E106" s="1092"/>
      <c r="F106" s="536" t="s">
        <v>586</v>
      </c>
      <c r="G106" s="133" t="s">
        <v>587</v>
      </c>
      <c r="H106" s="31">
        <v>1000000</v>
      </c>
      <c r="I106" s="90"/>
      <c r="J106" s="31">
        <v>0</v>
      </c>
      <c r="K106" s="90"/>
      <c r="L106" s="31">
        <v>0</v>
      </c>
      <c r="M106" s="661"/>
      <c r="N106" s="89">
        <f t="shared" si="20"/>
        <v>1000000</v>
      </c>
      <c r="O106" s="34"/>
      <c r="P106" s="31"/>
      <c r="Q106" s="90"/>
      <c r="R106" s="31"/>
      <c r="S106" s="90"/>
      <c r="T106" s="31"/>
      <c r="U106" s="661"/>
      <c r="V106" s="101">
        <f t="shared" si="16"/>
        <v>0</v>
      </c>
      <c r="W106" s="34"/>
      <c r="X106" s="31"/>
      <c r="Y106" s="90"/>
      <c r="Z106" s="31"/>
      <c r="AA106" s="90"/>
      <c r="AB106" s="31"/>
      <c r="AC106" s="661"/>
      <c r="AD106" s="89">
        <f t="shared" si="17"/>
        <v>0</v>
      </c>
      <c r="AE106" s="34"/>
      <c r="AF106" s="31"/>
      <c r="AG106" s="90"/>
      <c r="AH106" s="31"/>
      <c r="AI106" s="90"/>
      <c r="AJ106" s="31"/>
      <c r="AK106" s="661"/>
      <c r="AL106" s="101">
        <f t="shared" si="18"/>
        <v>0</v>
      </c>
      <c r="AM106" s="34"/>
      <c r="AN106" s="585">
        <f t="shared" si="21"/>
        <v>1000000</v>
      </c>
      <c r="AO106" s="40"/>
      <c r="AP106" s="28"/>
      <c r="AQ106" s="28"/>
      <c r="AR106" s="28"/>
      <c r="AS106" s="28"/>
      <c r="AT106" s="28"/>
    </row>
    <row r="107" spans="1:46" s="10" customFormat="1" ht="18" customHeight="1">
      <c r="A107" s="5"/>
      <c r="B107" s="86"/>
      <c r="C107" s="98"/>
      <c r="D107" s="1092"/>
      <c r="E107" s="1092"/>
      <c r="F107" s="536" t="s">
        <v>171</v>
      </c>
      <c r="G107" s="133" t="s">
        <v>636</v>
      </c>
      <c r="H107" s="31">
        <v>0</v>
      </c>
      <c r="I107" s="90"/>
      <c r="J107" s="31">
        <v>0</v>
      </c>
      <c r="K107" s="90"/>
      <c r="L107" s="31">
        <v>2100000</v>
      </c>
      <c r="M107" s="661"/>
      <c r="N107" s="89">
        <f t="shared" si="20"/>
        <v>2100000</v>
      </c>
      <c r="O107" s="34"/>
      <c r="P107" s="31"/>
      <c r="Q107" s="90"/>
      <c r="R107" s="31"/>
      <c r="S107" s="90"/>
      <c r="T107" s="31"/>
      <c r="U107" s="661"/>
      <c r="V107" s="101"/>
      <c r="W107" s="34"/>
      <c r="X107" s="31"/>
      <c r="Y107" s="90"/>
      <c r="Z107" s="31"/>
      <c r="AA107" s="90"/>
      <c r="AB107" s="31"/>
      <c r="AC107" s="661"/>
      <c r="AD107" s="89"/>
      <c r="AE107" s="34"/>
      <c r="AF107" s="31"/>
      <c r="AG107" s="90"/>
      <c r="AH107" s="31"/>
      <c r="AI107" s="90"/>
      <c r="AJ107" s="31"/>
      <c r="AK107" s="661"/>
      <c r="AL107" s="101"/>
      <c r="AM107" s="34"/>
      <c r="AN107" s="585">
        <f t="shared" si="21"/>
        <v>2100000</v>
      </c>
      <c r="AO107" s="40"/>
      <c r="AP107" s="28"/>
      <c r="AQ107" s="28"/>
      <c r="AR107" s="28"/>
      <c r="AS107" s="28"/>
      <c r="AT107" s="28"/>
    </row>
    <row r="108" spans="1:46" s="10" customFormat="1" ht="18" customHeight="1">
      <c r="A108" s="5"/>
      <c r="B108" s="86"/>
      <c r="C108" s="98"/>
      <c r="D108" s="1092"/>
      <c r="E108" s="1092"/>
      <c r="F108" s="536" t="s">
        <v>175</v>
      </c>
      <c r="G108" s="133" t="s">
        <v>637</v>
      </c>
      <c r="H108" s="31">
        <v>0</v>
      </c>
      <c r="I108" s="90"/>
      <c r="J108" s="31">
        <v>0</v>
      </c>
      <c r="K108" s="90"/>
      <c r="L108" s="31">
        <v>265000</v>
      </c>
      <c r="M108" s="661"/>
      <c r="N108" s="89">
        <f t="shared" si="20"/>
        <v>265000</v>
      </c>
      <c r="O108" s="34"/>
      <c r="P108" s="31"/>
      <c r="Q108" s="90"/>
      <c r="R108" s="31"/>
      <c r="S108" s="90"/>
      <c r="T108" s="31"/>
      <c r="U108" s="661"/>
      <c r="V108" s="101"/>
      <c r="W108" s="34"/>
      <c r="X108" s="31"/>
      <c r="Y108" s="90"/>
      <c r="Z108" s="31"/>
      <c r="AA108" s="90"/>
      <c r="AB108" s="31"/>
      <c r="AC108" s="661"/>
      <c r="AD108" s="89"/>
      <c r="AE108" s="34"/>
      <c r="AF108" s="31"/>
      <c r="AG108" s="90"/>
      <c r="AH108" s="31"/>
      <c r="AI108" s="90"/>
      <c r="AJ108" s="31"/>
      <c r="AK108" s="661"/>
      <c r="AL108" s="101"/>
      <c r="AM108" s="34"/>
      <c r="AN108" s="585">
        <f t="shared" si="21"/>
        <v>265000</v>
      </c>
      <c r="AO108" s="40"/>
      <c r="AP108" s="28"/>
      <c r="AQ108" s="28"/>
      <c r="AR108" s="28"/>
      <c r="AS108" s="28"/>
      <c r="AT108" s="28"/>
    </row>
    <row r="109" spans="1:46" s="10" customFormat="1" ht="18" customHeight="1">
      <c r="A109" s="5"/>
      <c r="B109" s="86"/>
      <c r="C109" s="98"/>
      <c r="D109" s="1092"/>
      <c r="E109" s="1092"/>
      <c r="F109" s="536" t="s">
        <v>181</v>
      </c>
      <c r="G109" s="133" t="s">
        <v>182</v>
      </c>
      <c r="H109" s="31">
        <v>100000</v>
      </c>
      <c r="I109" s="90"/>
      <c r="J109" s="31">
        <v>0</v>
      </c>
      <c r="K109" s="90"/>
      <c r="L109" s="31">
        <v>0</v>
      </c>
      <c r="M109" s="661"/>
      <c r="N109" s="89">
        <f t="shared" si="20"/>
        <v>100000</v>
      </c>
      <c r="O109" s="34"/>
      <c r="P109" s="31"/>
      <c r="Q109" s="90"/>
      <c r="R109" s="31"/>
      <c r="S109" s="90"/>
      <c r="T109" s="31"/>
      <c r="U109" s="661"/>
      <c r="V109" s="101">
        <f t="shared" si="16"/>
        <v>0</v>
      </c>
      <c r="W109" s="34"/>
      <c r="X109" s="31"/>
      <c r="Y109" s="90"/>
      <c r="Z109" s="31"/>
      <c r="AA109" s="90"/>
      <c r="AB109" s="31"/>
      <c r="AC109" s="661"/>
      <c r="AD109" s="89">
        <f t="shared" si="17"/>
        <v>0</v>
      </c>
      <c r="AE109" s="34"/>
      <c r="AF109" s="31"/>
      <c r="AG109" s="90"/>
      <c r="AH109" s="31"/>
      <c r="AI109" s="90"/>
      <c r="AJ109" s="31"/>
      <c r="AK109" s="661"/>
      <c r="AL109" s="101">
        <f t="shared" si="18"/>
        <v>0</v>
      </c>
      <c r="AM109" s="34"/>
      <c r="AN109" s="585">
        <f t="shared" si="21"/>
        <v>100000</v>
      </c>
      <c r="AO109" s="40"/>
      <c r="AP109" s="28"/>
      <c r="AQ109" s="28"/>
      <c r="AR109" s="28"/>
      <c r="AS109" s="28"/>
      <c r="AT109" s="28"/>
    </row>
    <row r="110" spans="1:46" s="10" customFormat="1" ht="18" customHeight="1">
      <c r="A110" s="5"/>
      <c r="B110" s="86"/>
      <c r="C110" s="98"/>
      <c r="D110" s="1096" t="s">
        <v>504</v>
      </c>
      <c r="E110" s="1097"/>
      <c r="F110" s="1097"/>
      <c r="G110" s="1098"/>
      <c r="H110" s="617">
        <f>SUM(H100:H109)</f>
        <v>1100000</v>
      </c>
      <c r="I110" s="618"/>
      <c r="J110" s="617">
        <f>SUM(J100:J109)</f>
        <v>760000</v>
      </c>
      <c r="K110" s="618"/>
      <c r="L110" s="617">
        <f>SUM(L100:L109)</f>
        <v>2365000</v>
      </c>
      <c r="M110" s="681"/>
      <c r="N110" s="619">
        <f t="shared" si="20"/>
        <v>4225000</v>
      </c>
      <c r="O110" s="620"/>
      <c r="P110" s="617">
        <f>SUM(P100:P109)</f>
        <v>0</v>
      </c>
      <c r="Q110" s="618"/>
      <c r="R110" s="617">
        <f>SUM(R100:R109)</f>
        <v>0</v>
      </c>
      <c r="S110" s="618"/>
      <c r="T110" s="617">
        <f>SUM(T100:T109)</f>
        <v>0</v>
      </c>
      <c r="U110" s="681"/>
      <c r="V110" s="621">
        <f t="shared" si="16"/>
        <v>0</v>
      </c>
      <c r="W110" s="620"/>
      <c r="X110" s="617">
        <f>SUM(X100:X109)</f>
        <v>0</v>
      </c>
      <c r="Y110" s="618"/>
      <c r="Z110" s="617">
        <f>SUM(Z100:Z109)</f>
        <v>0</v>
      </c>
      <c r="AA110" s="618"/>
      <c r="AB110" s="617">
        <f>SUM(AB100:AB109)</f>
        <v>0</v>
      </c>
      <c r="AC110" s="681"/>
      <c r="AD110" s="619">
        <f t="shared" si="17"/>
        <v>0</v>
      </c>
      <c r="AE110" s="620"/>
      <c r="AF110" s="617">
        <f>SUM(AF100:AF109)</f>
        <v>0</v>
      </c>
      <c r="AG110" s="618"/>
      <c r="AH110" s="617">
        <f>SUM(AH100:AH109)</f>
        <v>0</v>
      </c>
      <c r="AI110" s="618"/>
      <c r="AJ110" s="617">
        <f>SUM(AJ100:AJ109)</f>
        <v>0</v>
      </c>
      <c r="AK110" s="681"/>
      <c r="AL110" s="621">
        <f t="shared" si="18"/>
        <v>0</v>
      </c>
      <c r="AM110" s="620"/>
      <c r="AN110" s="621">
        <f t="shared" si="21"/>
        <v>4225000</v>
      </c>
      <c r="AO110" s="622"/>
      <c r="AP110" s="28"/>
      <c r="AQ110" s="28"/>
      <c r="AR110" s="28"/>
      <c r="AS110" s="28"/>
      <c r="AT110" s="28"/>
    </row>
    <row r="111" spans="1:46" s="10" customFormat="1" ht="18" customHeight="1">
      <c r="A111" s="5"/>
      <c r="B111" s="86"/>
      <c r="C111" s="98"/>
      <c r="D111" s="1101" t="s">
        <v>107</v>
      </c>
      <c r="E111" s="1101" t="s">
        <v>107</v>
      </c>
      <c r="F111" s="542" t="s">
        <v>183</v>
      </c>
      <c r="G111" s="133" t="s">
        <v>184</v>
      </c>
      <c r="H111" s="31">
        <v>107510</v>
      </c>
      <c r="I111" s="137"/>
      <c r="J111" s="31">
        <v>97106</v>
      </c>
      <c r="K111" s="137"/>
      <c r="L111" s="31">
        <v>107510</v>
      </c>
      <c r="M111" s="676"/>
      <c r="N111" s="89">
        <f t="shared" si="20"/>
        <v>312126</v>
      </c>
      <c r="O111" s="136"/>
      <c r="P111" s="31"/>
      <c r="Q111" s="137"/>
      <c r="R111" s="31"/>
      <c r="S111" s="137"/>
      <c r="T111" s="31"/>
      <c r="U111" s="676"/>
      <c r="V111" s="101">
        <f t="shared" si="16"/>
        <v>0</v>
      </c>
      <c r="W111" s="136"/>
      <c r="X111" s="31"/>
      <c r="Y111" s="137"/>
      <c r="Z111" s="31"/>
      <c r="AA111" s="137"/>
      <c r="AB111" s="31"/>
      <c r="AC111" s="676"/>
      <c r="AD111" s="89">
        <f t="shared" si="17"/>
        <v>0</v>
      </c>
      <c r="AE111" s="136"/>
      <c r="AF111" s="31"/>
      <c r="AG111" s="137"/>
      <c r="AH111" s="31"/>
      <c r="AI111" s="137"/>
      <c r="AJ111" s="31"/>
      <c r="AK111" s="676"/>
      <c r="AL111" s="101">
        <f t="shared" si="18"/>
        <v>0</v>
      </c>
      <c r="AM111" s="136"/>
      <c r="AN111" s="585">
        <f t="shared" si="21"/>
        <v>312126</v>
      </c>
      <c r="AO111" s="105" t="s">
        <v>115</v>
      </c>
      <c r="AP111" s="28"/>
      <c r="AQ111" s="28"/>
      <c r="AR111" s="28"/>
      <c r="AS111" s="28"/>
      <c r="AT111" s="28"/>
    </row>
    <row r="112" spans="1:46" s="10" customFormat="1" ht="18" customHeight="1">
      <c r="A112" s="5"/>
      <c r="B112" s="86"/>
      <c r="C112" s="98"/>
      <c r="D112" s="1190"/>
      <c r="E112" s="1190"/>
      <c r="F112" s="542" t="s">
        <v>185</v>
      </c>
      <c r="G112" s="133" t="s">
        <v>186</v>
      </c>
      <c r="H112" s="31">
        <v>1150000</v>
      </c>
      <c r="I112" s="137"/>
      <c r="J112" s="31">
        <v>1150000</v>
      </c>
      <c r="K112" s="137"/>
      <c r="L112" s="31">
        <v>1150000</v>
      </c>
      <c r="M112" s="676"/>
      <c r="N112" s="89">
        <f t="shared" si="20"/>
        <v>3450000</v>
      </c>
      <c r="O112" s="136"/>
      <c r="P112" s="31"/>
      <c r="Q112" s="137"/>
      <c r="R112" s="31"/>
      <c r="S112" s="137"/>
      <c r="T112" s="31"/>
      <c r="U112" s="676"/>
      <c r="V112" s="101">
        <f t="shared" si="16"/>
        <v>0</v>
      </c>
      <c r="W112" s="136"/>
      <c r="X112" s="31"/>
      <c r="Y112" s="137"/>
      <c r="Z112" s="31"/>
      <c r="AA112" s="137"/>
      <c r="AB112" s="31"/>
      <c r="AC112" s="676"/>
      <c r="AD112" s="89">
        <f t="shared" si="17"/>
        <v>0</v>
      </c>
      <c r="AE112" s="136"/>
      <c r="AF112" s="31"/>
      <c r="AG112" s="137"/>
      <c r="AH112" s="31"/>
      <c r="AI112" s="137"/>
      <c r="AJ112" s="31"/>
      <c r="AK112" s="676"/>
      <c r="AL112" s="101">
        <f t="shared" si="18"/>
        <v>0</v>
      </c>
      <c r="AM112" s="136"/>
      <c r="AN112" s="585">
        <f t="shared" si="21"/>
        <v>3450000</v>
      </c>
      <c r="AO112" s="105" t="s">
        <v>115</v>
      </c>
      <c r="AP112" s="28"/>
      <c r="AQ112" s="28"/>
      <c r="AR112" s="28"/>
      <c r="AS112" s="28"/>
      <c r="AT112" s="28"/>
    </row>
    <row r="113" spans="1:46" s="10" customFormat="1" ht="18" customHeight="1">
      <c r="B113" s="86"/>
      <c r="C113" s="98"/>
      <c r="D113" s="1190"/>
      <c r="E113" s="1190"/>
      <c r="F113" s="542" t="s">
        <v>108</v>
      </c>
      <c r="G113" s="88" t="s">
        <v>109</v>
      </c>
      <c r="H113" s="134">
        <v>240630</v>
      </c>
      <c r="I113" s="405"/>
      <c r="J113" s="403">
        <v>260060</v>
      </c>
      <c r="K113" s="405"/>
      <c r="L113" s="134">
        <v>237045</v>
      </c>
      <c r="M113" s="662"/>
      <c r="N113" s="406">
        <f t="shared" si="20"/>
        <v>737735</v>
      </c>
      <c r="O113" s="407"/>
      <c r="P113" s="403"/>
      <c r="Q113" s="405"/>
      <c r="R113" s="403"/>
      <c r="S113" s="405"/>
      <c r="T113" s="403"/>
      <c r="U113" s="662"/>
      <c r="V113" s="408">
        <f t="shared" si="16"/>
        <v>0</v>
      </c>
      <c r="W113" s="407"/>
      <c r="X113" s="403"/>
      <c r="Y113" s="405"/>
      <c r="Z113" s="403"/>
      <c r="AA113" s="405"/>
      <c r="AB113" s="403"/>
      <c r="AC113" s="662"/>
      <c r="AD113" s="406">
        <f t="shared" si="17"/>
        <v>0</v>
      </c>
      <c r="AE113" s="407"/>
      <c r="AF113" s="403"/>
      <c r="AG113" s="405"/>
      <c r="AH113" s="403"/>
      <c r="AI113" s="405"/>
      <c r="AJ113" s="403"/>
      <c r="AK113" s="662"/>
      <c r="AL113" s="406">
        <f t="shared" si="18"/>
        <v>0</v>
      </c>
      <c r="AM113" s="407"/>
      <c r="AN113" s="584">
        <f t="shared" si="21"/>
        <v>737735</v>
      </c>
      <c r="AO113" s="40"/>
      <c r="AP113" s="28"/>
      <c r="AQ113" s="28"/>
      <c r="AR113" s="28"/>
      <c r="AS113" s="28"/>
    </row>
    <row r="114" spans="1:46" s="10" customFormat="1" ht="18" customHeight="1">
      <c r="B114" s="86"/>
      <c r="C114" s="98"/>
      <c r="D114" s="1102"/>
      <c r="E114" s="1102"/>
      <c r="F114" s="542" t="s">
        <v>110</v>
      </c>
      <c r="G114" s="88" t="s">
        <v>111</v>
      </c>
      <c r="H114" s="134">
        <v>340090</v>
      </c>
      <c r="I114" s="405"/>
      <c r="J114" s="403">
        <v>362070</v>
      </c>
      <c r="K114" s="405"/>
      <c r="L114" s="134">
        <v>342520</v>
      </c>
      <c r="M114" s="662"/>
      <c r="N114" s="406">
        <f t="shared" si="20"/>
        <v>1044680</v>
      </c>
      <c r="O114" s="407"/>
      <c r="P114" s="403"/>
      <c r="Q114" s="405"/>
      <c r="R114" s="403"/>
      <c r="S114" s="405"/>
      <c r="T114" s="403"/>
      <c r="U114" s="662"/>
      <c r="V114" s="406">
        <f t="shared" si="16"/>
        <v>0</v>
      </c>
      <c r="W114" s="407"/>
      <c r="X114" s="403"/>
      <c r="Y114" s="405"/>
      <c r="Z114" s="403"/>
      <c r="AA114" s="405"/>
      <c r="AB114" s="403"/>
      <c r="AC114" s="662"/>
      <c r="AD114" s="406">
        <f t="shared" si="17"/>
        <v>0</v>
      </c>
      <c r="AE114" s="407"/>
      <c r="AF114" s="403"/>
      <c r="AG114" s="405"/>
      <c r="AH114" s="403"/>
      <c r="AI114" s="405"/>
      <c r="AJ114" s="403"/>
      <c r="AK114" s="662"/>
      <c r="AL114" s="406">
        <f t="shared" si="18"/>
        <v>0</v>
      </c>
      <c r="AM114" s="407"/>
      <c r="AN114" s="584">
        <f t="shared" si="21"/>
        <v>1044680</v>
      </c>
      <c r="AO114" s="40"/>
      <c r="AP114" s="28"/>
      <c r="AQ114" s="28"/>
      <c r="AR114" s="28"/>
      <c r="AS114" s="28"/>
    </row>
    <row r="115" spans="1:46" s="10" customFormat="1" ht="18" customHeight="1">
      <c r="A115" s="5"/>
      <c r="B115" s="86"/>
      <c r="C115" s="98"/>
      <c r="D115" s="1093" t="s">
        <v>503</v>
      </c>
      <c r="E115" s="1094"/>
      <c r="F115" s="1094"/>
      <c r="G115" s="1095"/>
      <c r="H115" s="623">
        <f>SUM(H111:H114)</f>
        <v>1838230</v>
      </c>
      <c r="I115" s="624"/>
      <c r="J115" s="623">
        <f>SUM(J111:J114)</f>
        <v>1869236</v>
      </c>
      <c r="K115" s="624"/>
      <c r="L115" s="625">
        <f>SUM(L111:L114)</f>
        <v>1837075</v>
      </c>
      <c r="M115" s="682"/>
      <c r="N115" s="594">
        <f t="shared" si="20"/>
        <v>5544541</v>
      </c>
      <c r="O115" s="626"/>
      <c r="P115" s="625">
        <f>SUM(P111:P114)</f>
        <v>0</v>
      </c>
      <c r="Q115" s="624"/>
      <c r="R115" s="625">
        <f>SUM(R111:R114)</f>
        <v>0</v>
      </c>
      <c r="S115" s="624"/>
      <c r="T115" s="625">
        <f>SUM(T111:T114)</f>
        <v>0</v>
      </c>
      <c r="U115" s="682"/>
      <c r="V115" s="562">
        <f t="shared" si="16"/>
        <v>0</v>
      </c>
      <c r="W115" s="626"/>
      <c r="X115" s="625">
        <f>SUM(X111:X114)</f>
        <v>0</v>
      </c>
      <c r="Y115" s="624"/>
      <c r="Z115" s="625">
        <f>SUM(Z111:Z114)</f>
        <v>0</v>
      </c>
      <c r="AA115" s="624"/>
      <c r="AB115" s="625">
        <f>SUM(AB111:AB114)</f>
        <v>0</v>
      </c>
      <c r="AC115" s="682"/>
      <c r="AD115" s="594">
        <f t="shared" si="17"/>
        <v>0</v>
      </c>
      <c r="AE115" s="626"/>
      <c r="AF115" s="625">
        <f>SUM(AF111:AF114)</f>
        <v>0</v>
      </c>
      <c r="AG115" s="624"/>
      <c r="AH115" s="625">
        <f>SUM(AH111:AH114)</f>
        <v>0</v>
      </c>
      <c r="AI115" s="624"/>
      <c r="AJ115" s="625">
        <f>SUM(AJ111:AJ114)</f>
        <v>0</v>
      </c>
      <c r="AK115" s="682"/>
      <c r="AL115" s="562">
        <f t="shared" si="18"/>
        <v>0</v>
      </c>
      <c r="AM115" s="626"/>
      <c r="AN115" s="562">
        <f t="shared" si="21"/>
        <v>5544541</v>
      </c>
      <c r="AO115" s="627"/>
      <c r="AP115" s="28"/>
      <c r="AQ115" s="28"/>
      <c r="AR115" s="28"/>
      <c r="AS115" s="28"/>
      <c r="AT115" s="28"/>
    </row>
    <row r="116" spans="1:46" s="10" customFormat="1" ht="18" customHeight="1">
      <c r="A116" s="5"/>
      <c r="B116" s="86"/>
      <c r="C116" s="98"/>
      <c r="D116" s="541" t="s">
        <v>253</v>
      </c>
      <c r="E116" s="541" t="s">
        <v>253</v>
      </c>
      <c r="F116" s="540" t="s">
        <v>254</v>
      </c>
      <c r="G116" s="475" t="s">
        <v>255</v>
      </c>
      <c r="H116" s="30">
        <v>0</v>
      </c>
      <c r="I116" s="90"/>
      <c r="J116" s="30">
        <v>0</v>
      </c>
      <c r="K116" s="90"/>
      <c r="L116" s="32">
        <v>0</v>
      </c>
      <c r="M116" s="661"/>
      <c r="N116" s="89">
        <f t="shared" si="20"/>
        <v>0</v>
      </c>
      <c r="O116" s="34"/>
      <c r="P116" s="32"/>
      <c r="Q116" s="90"/>
      <c r="R116" s="32"/>
      <c r="S116" s="90"/>
      <c r="T116" s="32"/>
      <c r="U116" s="661"/>
      <c r="V116" s="89">
        <f t="shared" ref="V116:V161" si="22">SUM(P116,R116,T116)</f>
        <v>0</v>
      </c>
      <c r="W116" s="34"/>
      <c r="X116" s="32"/>
      <c r="Y116" s="90"/>
      <c r="Z116" s="32"/>
      <c r="AA116" s="90"/>
      <c r="AB116" s="32"/>
      <c r="AC116" s="661"/>
      <c r="AD116" s="89">
        <f t="shared" ref="AD116:AD161" si="23">SUM(X116,Z116,AB116)</f>
        <v>0</v>
      </c>
      <c r="AE116" s="34"/>
      <c r="AF116" s="32"/>
      <c r="AG116" s="90"/>
      <c r="AH116" s="32"/>
      <c r="AI116" s="90"/>
      <c r="AJ116" s="32"/>
      <c r="AK116" s="661"/>
      <c r="AL116" s="89">
        <f t="shared" ref="AL116:AL162" si="24">SUM(AF116,AH116,AJ116)</f>
        <v>0</v>
      </c>
      <c r="AM116" s="34"/>
      <c r="AN116" s="585">
        <f t="shared" si="21"/>
        <v>0</v>
      </c>
      <c r="AO116" s="40"/>
      <c r="AP116" s="28"/>
      <c r="AQ116" s="28"/>
      <c r="AR116" s="28"/>
      <c r="AS116" s="28"/>
      <c r="AT116" s="28"/>
    </row>
    <row r="117" spans="1:46" s="10" customFormat="1" ht="18" customHeight="1">
      <c r="A117" s="5"/>
      <c r="B117" s="86"/>
      <c r="C117" s="98"/>
      <c r="D117" s="1186" t="s">
        <v>508</v>
      </c>
      <c r="E117" s="1187"/>
      <c r="F117" s="1187"/>
      <c r="G117" s="1188"/>
      <c r="H117" s="628">
        <f>SUM(H116)</f>
        <v>0</v>
      </c>
      <c r="I117" s="629"/>
      <c r="J117" s="628">
        <f>SUM(J116)</f>
        <v>0</v>
      </c>
      <c r="K117" s="629"/>
      <c r="L117" s="630">
        <f>SUM(L116)</f>
        <v>0</v>
      </c>
      <c r="M117" s="683"/>
      <c r="N117" s="631">
        <f t="shared" si="20"/>
        <v>0</v>
      </c>
      <c r="O117" s="632"/>
      <c r="P117" s="630">
        <f>SUM(P116)</f>
        <v>0</v>
      </c>
      <c r="Q117" s="629"/>
      <c r="R117" s="630">
        <f>SUM(R116)</f>
        <v>0</v>
      </c>
      <c r="S117" s="629"/>
      <c r="T117" s="630">
        <f>SUM(T116)</f>
        <v>0</v>
      </c>
      <c r="U117" s="683"/>
      <c r="V117" s="633">
        <f t="shared" si="22"/>
        <v>0</v>
      </c>
      <c r="W117" s="632"/>
      <c r="X117" s="630">
        <f>SUM(X116)</f>
        <v>0</v>
      </c>
      <c r="Y117" s="629"/>
      <c r="Z117" s="630">
        <f>SUM(Z116)</f>
        <v>0</v>
      </c>
      <c r="AA117" s="629"/>
      <c r="AB117" s="630">
        <f>SUM(AB116)</f>
        <v>0</v>
      </c>
      <c r="AC117" s="683"/>
      <c r="AD117" s="631">
        <f t="shared" si="23"/>
        <v>0</v>
      </c>
      <c r="AE117" s="632"/>
      <c r="AF117" s="630">
        <f>SUM(AF116)</f>
        <v>0</v>
      </c>
      <c r="AG117" s="629"/>
      <c r="AH117" s="630">
        <f>SUM(AH116)</f>
        <v>0</v>
      </c>
      <c r="AI117" s="629"/>
      <c r="AJ117" s="630">
        <f>SUM(AJ116)</f>
        <v>0</v>
      </c>
      <c r="AK117" s="683"/>
      <c r="AL117" s="633">
        <f t="shared" si="24"/>
        <v>0</v>
      </c>
      <c r="AM117" s="632"/>
      <c r="AN117" s="633">
        <f t="shared" si="21"/>
        <v>0</v>
      </c>
      <c r="AO117" s="634"/>
      <c r="AP117" s="28"/>
      <c r="AQ117" s="28"/>
      <c r="AR117" s="28"/>
      <c r="AS117" s="28"/>
      <c r="AT117" s="28"/>
    </row>
    <row r="118" spans="1:46" s="10" customFormat="1" ht="18" customHeight="1">
      <c r="A118" s="5"/>
      <c r="B118" s="86"/>
      <c r="C118" s="98"/>
      <c r="D118" s="1032" t="s">
        <v>187</v>
      </c>
      <c r="E118" s="1032" t="s">
        <v>187</v>
      </c>
      <c r="F118" s="135" t="s">
        <v>188</v>
      </c>
      <c r="G118" s="133" t="s">
        <v>189</v>
      </c>
      <c r="H118" s="31">
        <v>2097500</v>
      </c>
      <c r="I118" s="90"/>
      <c r="J118" s="31">
        <f>1270000+1270000</f>
        <v>2540000</v>
      </c>
      <c r="K118" s="90"/>
      <c r="L118" s="31">
        <v>825000</v>
      </c>
      <c r="M118" s="661"/>
      <c r="N118" s="89">
        <f t="shared" si="20"/>
        <v>5462500</v>
      </c>
      <c r="O118" s="34"/>
      <c r="P118" s="31"/>
      <c r="Q118" s="90"/>
      <c r="R118" s="31"/>
      <c r="S118" s="90"/>
      <c r="T118" s="31"/>
      <c r="U118" s="661"/>
      <c r="V118" s="101">
        <f t="shared" si="22"/>
        <v>0</v>
      </c>
      <c r="W118" s="34"/>
      <c r="X118" s="31"/>
      <c r="Y118" s="90"/>
      <c r="Z118" s="31"/>
      <c r="AA118" s="90"/>
      <c r="AB118" s="31"/>
      <c r="AC118" s="661"/>
      <c r="AD118" s="89">
        <f t="shared" si="23"/>
        <v>0</v>
      </c>
      <c r="AE118" s="34"/>
      <c r="AF118" s="31"/>
      <c r="AG118" s="90"/>
      <c r="AH118" s="31"/>
      <c r="AI118" s="90"/>
      <c r="AJ118" s="31"/>
      <c r="AK118" s="661"/>
      <c r="AL118" s="101">
        <f t="shared" si="24"/>
        <v>0</v>
      </c>
      <c r="AM118" s="34"/>
      <c r="AN118" s="585">
        <f t="shared" si="21"/>
        <v>5462500</v>
      </c>
      <c r="AO118" s="40"/>
      <c r="AP118" s="28"/>
      <c r="AQ118" s="28"/>
      <c r="AR118" s="28"/>
      <c r="AS118" s="28"/>
      <c r="AT118" s="28"/>
    </row>
    <row r="119" spans="1:46" s="10" customFormat="1" ht="18" customHeight="1">
      <c r="A119" s="5"/>
      <c r="B119" s="86"/>
      <c r="C119" s="98"/>
      <c r="D119" s="1033"/>
      <c r="E119" s="1033"/>
      <c r="F119" s="135" t="s">
        <v>175</v>
      </c>
      <c r="G119" s="133" t="s">
        <v>190</v>
      </c>
      <c r="H119" s="31">
        <v>0</v>
      </c>
      <c r="I119" s="90"/>
      <c r="J119" s="31">
        <v>468000</v>
      </c>
      <c r="K119" s="90"/>
      <c r="L119" s="31">
        <v>0</v>
      </c>
      <c r="M119" s="661"/>
      <c r="N119" s="89">
        <f t="shared" si="20"/>
        <v>468000</v>
      </c>
      <c r="O119" s="34"/>
      <c r="P119" s="31"/>
      <c r="Q119" s="90"/>
      <c r="R119" s="31"/>
      <c r="S119" s="90"/>
      <c r="T119" s="31"/>
      <c r="U119" s="661"/>
      <c r="V119" s="101">
        <f t="shared" si="22"/>
        <v>0</v>
      </c>
      <c r="W119" s="34"/>
      <c r="X119" s="31"/>
      <c r="Y119" s="90"/>
      <c r="Z119" s="31"/>
      <c r="AA119" s="90"/>
      <c r="AB119" s="31"/>
      <c r="AC119" s="661"/>
      <c r="AD119" s="89">
        <f t="shared" si="23"/>
        <v>0</v>
      </c>
      <c r="AE119" s="34"/>
      <c r="AF119" s="31"/>
      <c r="AG119" s="90"/>
      <c r="AH119" s="31"/>
      <c r="AI119" s="90"/>
      <c r="AJ119" s="31"/>
      <c r="AK119" s="661"/>
      <c r="AL119" s="101">
        <f t="shared" si="24"/>
        <v>0</v>
      </c>
      <c r="AM119" s="34"/>
      <c r="AN119" s="585">
        <f t="shared" si="21"/>
        <v>468000</v>
      </c>
      <c r="AO119" s="40"/>
      <c r="AP119" s="28"/>
      <c r="AQ119" s="28"/>
      <c r="AR119" s="28"/>
      <c r="AS119" s="28"/>
      <c r="AT119" s="28"/>
    </row>
    <row r="120" spans="1:46" s="10" customFormat="1" ht="18" customHeight="1">
      <c r="A120" s="5"/>
      <c r="B120" s="86"/>
      <c r="C120" s="98"/>
      <c r="D120" s="1033"/>
      <c r="E120" s="1033"/>
      <c r="F120" s="135" t="s">
        <v>191</v>
      </c>
      <c r="G120" s="133" t="s">
        <v>192</v>
      </c>
      <c r="H120" s="31">
        <v>22591</v>
      </c>
      <c r="I120" s="90"/>
      <c r="J120" s="31">
        <v>0</v>
      </c>
      <c r="K120" s="90"/>
      <c r="L120" s="31">
        <v>0</v>
      </c>
      <c r="M120" s="661"/>
      <c r="N120" s="89">
        <f t="shared" si="20"/>
        <v>22591</v>
      </c>
      <c r="O120" s="34"/>
      <c r="P120" s="31"/>
      <c r="Q120" s="90"/>
      <c r="R120" s="31"/>
      <c r="S120" s="90"/>
      <c r="T120" s="31"/>
      <c r="U120" s="661"/>
      <c r="V120" s="101">
        <f t="shared" si="22"/>
        <v>0</v>
      </c>
      <c r="W120" s="34"/>
      <c r="X120" s="31"/>
      <c r="Y120" s="90"/>
      <c r="Z120" s="31"/>
      <c r="AA120" s="90"/>
      <c r="AB120" s="31"/>
      <c r="AC120" s="661"/>
      <c r="AD120" s="89">
        <f t="shared" si="23"/>
        <v>0</v>
      </c>
      <c r="AE120" s="34"/>
      <c r="AF120" s="31"/>
      <c r="AG120" s="90"/>
      <c r="AH120" s="31"/>
      <c r="AI120" s="90"/>
      <c r="AJ120" s="31"/>
      <c r="AK120" s="661"/>
      <c r="AL120" s="101">
        <f t="shared" si="24"/>
        <v>0</v>
      </c>
      <c r="AM120" s="34"/>
      <c r="AN120" s="585">
        <f t="shared" si="21"/>
        <v>22591</v>
      </c>
      <c r="AO120" s="40"/>
      <c r="AP120" s="28"/>
      <c r="AQ120" s="28"/>
      <c r="AR120" s="28"/>
      <c r="AS120" s="28"/>
      <c r="AT120" s="28"/>
    </row>
    <row r="121" spans="1:46" s="10" customFormat="1" ht="18" customHeight="1">
      <c r="A121" s="5"/>
      <c r="B121" s="86"/>
      <c r="C121" s="98"/>
      <c r="D121" s="1033"/>
      <c r="E121" s="1033"/>
      <c r="F121" s="135" t="s">
        <v>193</v>
      </c>
      <c r="G121" s="133" t="s">
        <v>194</v>
      </c>
      <c r="H121" s="31">
        <v>0</v>
      </c>
      <c r="I121" s="90"/>
      <c r="J121" s="31">
        <v>118182</v>
      </c>
      <c r="K121" s="90"/>
      <c r="L121" s="31">
        <v>118182</v>
      </c>
      <c r="M121" s="661"/>
      <c r="N121" s="89">
        <f t="shared" si="20"/>
        <v>236364</v>
      </c>
      <c r="O121" s="34"/>
      <c r="P121" s="31"/>
      <c r="Q121" s="90"/>
      <c r="R121" s="31"/>
      <c r="S121" s="90"/>
      <c r="T121" s="31"/>
      <c r="U121" s="661"/>
      <c r="V121" s="101">
        <f t="shared" si="22"/>
        <v>0</v>
      </c>
      <c r="W121" s="34"/>
      <c r="X121" s="31"/>
      <c r="Y121" s="90"/>
      <c r="Z121" s="31"/>
      <c r="AA121" s="90"/>
      <c r="AB121" s="31"/>
      <c r="AC121" s="661"/>
      <c r="AD121" s="89">
        <f t="shared" si="23"/>
        <v>0</v>
      </c>
      <c r="AE121" s="34"/>
      <c r="AF121" s="31"/>
      <c r="AG121" s="90"/>
      <c r="AH121" s="31"/>
      <c r="AI121" s="90"/>
      <c r="AJ121" s="31"/>
      <c r="AK121" s="661"/>
      <c r="AL121" s="101">
        <f t="shared" si="24"/>
        <v>0</v>
      </c>
      <c r="AM121" s="34"/>
      <c r="AN121" s="585">
        <f t="shared" si="21"/>
        <v>236364</v>
      </c>
      <c r="AO121" s="40"/>
      <c r="AP121" s="146"/>
      <c r="AQ121" s="28"/>
      <c r="AR121" s="28"/>
      <c r="AS121" s="28"/>
      <c r="AT121" s="28"/>
    </row>
    <row r="122" spans="1:46" s="10" customFormat="1" ht="18" customHeight="1">
      <c r="A122" s="5"/>
      <c r="B122" s="86"/>
      <c r="C122" s="98"/>
      <c r="D122" s="1033"/>
      <c r="E122" s="1033"/>
      <c r="F122" s="135" t="s">
        <v>195</v>
      </c>
      <c r="G122" s="133" t="s">
        <v>196</v>
      </c>
      <c r="H122" s="31">
        <v>283750</v>
      </c>
      <c r="I122" s="90"/>
      <c r="J122" s="31">
        <v>0</v>
      </c>
      <c r="K122" s="90"/>
      <c r="L122" s="31">
        <v>0</v>
      </c>
      <c r="M122" s="661"/>
      <c r="N122" s="89">
        <f t="shared" si="20"/>
        <v>283750</v>
      </c>
      <c r="O122" s="34"/>
      <c r="P122" s="31"/>
      <c r="Q122" s="90"/>
      <c r="R122" s="31"/>
      <c r="S122" s="90"/>
      <c r="T122" s="31"/>
      <c r="U122" s="661"/>
      <c r="V122" s="101">
        <f t="shared" si="22"/>
        <v>0</v>
      </c>
      <c r="W122" s="34"/>
      <c r="X122" s="31"/>
      <c r="Y122" s="90"/>
      <c r="Z122" s="31"/>
      <c r="AA122" s="90"/>
      <c r="AB122" s="31"/>
      <c r="AC122" s="661"/>
      <c r="AD122" s="89">
        <f t="shared" si="23"/>
        <v>0</v>
      </c>
      <c r="AE122" s="34"/>
      <c r="AF122" s="31"/>
      <c r="AG122" s="90"/>
      <c r="AH122" s="31"/>
      <c r="AI122" s="90"/>
      <c r="AJ122" s="31"/>
      <c r="AK122" s="661"/>
      <c r="AL122" s="101">
        <f t="shared" si="24"/>
        <v>0</v>
      </c>
      <c r="AM122" s="34"/>
      <c r="AN122" s="585">
        <f t="shared" si="21"/>
        <v>283750</v>
      </c>
      <c r="AO122" s="40"/>
      <c r="AP122" s="28"/>
      <c r="AQ122" s="28"/>
      <c r="AR122" s="28"/>
      <c r="AS122" s="28"/>
      <c r="AT122" s="28"/>
    </row>
    <row r="123" spans="1:46" s="10" customFormat="1" ht="18" hidden="1" customHeight="1">
      <c r="A123" s="5"/>
      <c r="B123" s="86"/>
      <c r="C123" s="98"/>
      <c r="D123" s="1033"/>
      <c r="E123" s="1033"/>
      <c r="F123" s="135" t="s">
        <v>197</v>
      </c>
      <c r="G123" s="133" t="s">
        <v>198</v>
      </c>
      <c r="H123" s="31">
        <v>0</v>
      </c>
      <c r="I123" s="90"/>
      <c r="J123" s="31">
        <v>0</v>
      </c>
      <c r="K123" s="90"/>
      <c r="L123" s="31"/>
      <c r="M123" s="661"/>
      <c r="N123" s="89">
        <f t="shared" si="20"/>
        <v>0</v>
      </c>
      <c r="O123" s="34"/>
      <c r="P123" s="31"/>
      <c r="Q123" s="90"/>
      <c r="R123" s="31"/>
      <c r="S123" s="90"/>
      <c r="T123" s="31"/>
      <c r="U123" s="661"/>
      <c r="V123" s="101">
        <f t="shared" si="22"/>
        <v>0</v>
      </c>
      <c r="W123" s="34"/>
      <c r="X123" s="31"/>
      <c r="Y123" s="90"/>
      <c r="Z123" s="31"/>
      <c r="AA123" s="90"/>
      <c r="AB123" s="31"/>
      <c r="AC123" s="661"/>
      <c r="AD123" s="89">
        <f t="shared" si="23"/>
        <v>0</v>
      </c>
      <c r="AE123" s="34"/>
      <c r="AF123" s="31"/>
      <c r="AG123" s="90"/>
      <c r="AH123" s="31"/>
      <c r="AI123" s="90"/>
      <c r="AJ123" s="31"/>
      <c r="AK123" s="661"/>
      <c r="AL123" s="101">
        <f t="shared" si="24"/>
        <v>0</v>
      </c>
      <c r="AM123" s="34"/>
      <c r="AN123" s="585">
        <f t="shared" si="21"/>
        <v>0</v>
      </c>
      <c r="AO123" s="40"/>
      <c r="AP123" s="28"/>
      <c r="AQ123" s="28"/>
      <c r="AR123" s="28"/>
      <c r="AS123" s="28"/>
      <c r="AT123" s="28"/>
    </row>
    <row r="124" spans="1:46" s="10" customFormat="1" ht="18" hidden="1" customHeight="1">
      <c r="A124" s="5"/>
      <c r="B124" s="86"/>
      <c r="C124" s="98"/>
      <c r="D124" s="1033"/>
      <c r="E124" s="1033"/>
      <c r="F124" s="135" t="s">
        <v>177</v>
      </c>
      <c r="G124" s="133" t="s">
        <v>199</v>
      </c>
      <c r="H124" s="31">
        <v>0</v>
      </c>
      <c r="I124" s="90"/>
      <c r="J124" s="31">
        <v>0</v>
      </c>
      <c r="K124" s="90"/>
      <c r="L124" s="31"/>
      <c r="M124" s="661"/>
      <c r="N124" s="89">
        <f t="shared" ref="N124:N161" si="25">SUM(H124,J124,L124)</f>
        <v>0</v>
      </c>
      <c r="O124" s="34"/>
      <c r="P124" s="31"/>
      <c r="Q124" s="90"/>
      <c r="R124" s="31"/>
      <c r="S124" s="90"/>
      <c r="T124" s="31"/>
      <c r="U124" s="661"/>
      <c r="V124" s="101">
        <f t="shared" si="22"/>
        <v>0</v>
      </c>
      <c r="W124" s="34"/>
      <c r="X124" s="31"/>
      <c r="Y124" s="90"/>
      <c r="Z124" s="31"/>
      <c r="AA124" s="90"/>
      <c r="AB124" s="31"/>
      <c r="AC124" s="661"/>
      <c r="AD124" s="89">
        <f t="shared" si="23"/>
        <v>0</v>
      </c>
      <c r="AE124" s="34"/>
      <c r="AF124" s="31"/>
      <c r="AG124" s="90"/>
      <c r="AH124" s="31"/>
      <c r="AI124" s="90"/>
      <c r="AJ124" s="31"/>
      <c r="AK124" s="661"/>
      <c r="AL124" s="101">
        <f t="shared" si="24"/>
        <v>0</v>
      </c>
      <c r="AM124" s="34"/>
      <c r="AN124" s="585">
        <f t="shared" si="21"/>
        <v>0</v>
      </c>
      <c r="AO124" s="40"/>
      <c r="AP124" s="28"/>
      <c r="AQ124" s="28"/>
      <c r="AR124" s="28"/>
      <c r="AS124" s="28"/>
      <c r="AT124" s="28"/>
    </row>
    <row r="125" spans="1:46" s="10" customFormat="1" ht="18" customHeight="1">
      <c r="A125" s="5"/>
      <c r="B125" s="86"/>
      <c r="C125" s="98"/>
      <c r="D125" s="1033"/>
      <c r="E125" s="1033"/>
      <c r="F125" s="147" t="s">
        <v>200</v>
      </c>
      <c r="G125" s="148" t="s">
        <v>201</v>
      </c>
      <c r="H125" s="31">
        <v>0</v>
      </c>
      <c r="I125" s="90"/>
      <c r="J125" s="31">
        <v>100000</v>
      </c>
      <c r="K125" s="90"/>
      <c r="L125" s="31">
        <v>0</v>
      </c>
      <c r="M125" s="661"/>
      <c r="N125" s="89">
        <f t="shared" si="25"/>
        <v>100000</v>
      </c>
      <c r="O125" s="34"/>
      <c r="P125" s="31"/>
      <c r="Q125" s="90"/>
      <c r="R125" s="31"/>
      <c r="S125" s="90"/>
      <c r="T125" s="31"/>
      <c r="U125" s="661"/>
      <c r="V125" s="101">
        <f t="shared" si="22"/>
        <v>0</v>
      </c>
      <c r="W125" s="34"/>
      <c r="X125" s="31"/>
      <c r="Y125" s="90"/>
      <c r="Z125" s="31"/>
      <c r="AA125" s="90"/>
      <c r="AB125" s="31"/>
      <c r="AC125" s="661"/>
      <c r="AD125" s="89">
        <f t="shared" si="23"/>
        <v>0</v>
      </c>
      <c r="AE125" s="34"/>
      <c r="AF125" s="31"/>
      <c r="AG125" s="90"/>
      <c r="AH125" s="31"/>
      <c r="AI125" s="90"/>
      <c r="AJ125" s="31"/>
      <c r="AK125" s="661"/>
      <c r="AL125" s="101">
        <f t="shared" si="24"/>
        <v>0</v>
      </c>
      <c r="AM125" s="34"/>
      <c r="AN125" s="585">
        <f t="shared" si="21"/>
        <v>100000</v>
      </c>
      <c r="AO125" s="40"/>
      <c r="AP125" s="28"/>
      <c r="AQ125" s="28"/>
      <c r="AR125" s="28"/>
      <c r="AS125" s="28"/>
      <c r="AT125" s="28"/>
    </row>
    <row r="126" spans="1:46" s="10" customFormat="1" ht="18" hidden="1" customHeight="1">
      <c r="A126" s="5"/>
      <c r="B126" s="86"/>
      <c r="C126" s="98"/>
      <c r="D126" s="1033"/>
      <c r="E126" s="1033"/>
      <c r="F126" s="147" t="s">
        <v>202</v>
      </c>
      <c r="G126" s="148" t="s">
        <v>203</v>
      </c>
      <c r="H126" s="31">
        <v>0</v>
      </c>
      <c r="I126" s="90"/>
      <c r="J126" s="31">
        <v>0</v>
      </c>
      <c r="K126" s="90"/>
      <c r="L126" s="31"/>
      <c r="M126" s="661"/>
      <c r="N126" s="89">
        <f t="shared" si="25"/>
        <v>0</v>
      </c>
      <c r="O126" s="34"/>
      <c r="P126" s="31"/>
      <c r="Q126" s="90"/>
      <c r="R126" s="31"/>
      <c r="S126" s="90"/>
      <c r="T126" s="31"/>
      <c r="U126" s="661"/>
      <c r="V126" s="101">
        <f t="shared" si="22"/>
        <v>0</v>
      </c>
      <c r="W126" s="34"/>
      <c r="X126" s="31"/>
      <c r="Y126" s="90"/>
      <c r="Z126" s="31"/>
      <c r="AA126" s="90"/>
      <c r="AB126" s="31"/>
      <c r="AC126" s="661"/>
      <c r="AD126" s="89">
        <f t="shared" si="23"/>
        <v>0</v>
      </c>
      <c r="AE126" s="34"/>
      <c r="AF126" s="31"/>
      <c r="AG126" s="90"/>
      <c r="AH126" s="31"/>
      <c r="AI126" s="90"/>
      <c r="AJ126" s="31"/>
      <c r="AK126" s="661"/>
      <c r="AL126" s="101">
        <f t="shared" si="24"/>
        <v>0</v>
      </c>
      <c r="AM126" s="34"/>
      <c r="AN126" s="585">
        <f t="shared" si="21"/>
        <v>0</v>
      </c>
      <c r="AO126" s="40"/>
      <c r="AP126" s="28"/>
      <c r="AQ126" s="28"/>
      <c r="AR126" s="28"/>
      <c r="AS126" s="28"/>
      <c r="AT126" s="28"/>
    </row>
    <row r="127" spans="1:46" s="10" customFormat="1" ht="18" hidden="1" customHeight="1">
      <c r="A127" s="5"/>
      <c r="B127" s="86"/>
      <c r="C127" s="98"/>
      <c r="D127" s="1033"/>
      <c r="E127" s="1033"/>
      <c r="F127" s="147" t="s">
        <v>204</v>
      </c>
      <c r="G127" s="148" t="s">
        <v>205</v>
      </c>
      <c r="H127" s="31">
        <v>0</v>
      </c>
      <c r="I127" s="90"/>
      <c r="J127" s="31">
        <v>0</v>
      </c>
      <c r="K127" s="90"/>
      <c r="L127" s="31"/>
      <c r="M127" s="661"/>
      <c r="N127" s="89">
        <f t="shared" si="25"/>
        <v>0</v>
      </c>
      <c r="O127" s="34"/>
      <c r="P127" s="31"/>
      <c r="Q127" s="90"/>
      <c r="R127" s="31"/>
      <c r="S127" s="90"/>
      <c r="T127" s="31"/>
      <c r="U127" s="661"/>
      <c r="V127" s="101">
        <f t="shared" si="22"/>
        <v>0</v>
      </c>
      <c r="W127" s="34"/>
      <c r="X127" s="31"/>
      <c r="Y127" s="90"/>
      <c r="Z127" s="31"/>
      <c r="AA127" s="90"/>
      <c r="AB127" s="31"/>
      <c r="AC127" s="661"/>
      <c r="AD127" s="89">
        <f t="shared" si="23"/>
        <v>0</v>
      </c>
      <c r="AE127" s="34"/>
      <c r="AF127" s="31"/>
      <c r="AG127" s="90"/>
      <c r="AH127" s="31"/>
      <c r="AI127" s="90"/>
      <c r="AJ127" s="31"/>
      <c r="AK127" s="661"/>
      <c r="AL127" s="101">
        <f t="shared" si="24"/>
        <v>0</v>
      </c>
      <c r="AM127" s="34"/>
      <c r="AN127" s="585">
        <f t="shared" si="21"/>
        <v>0</v>
      </c>
      <c r="AO127" s="40"/>
      <c r="AP127" s="28"/>
      <c r="AQ127" s="28"/>
      <c r="AR127" s="28"/>
      <c r="AS127" s="28"/>
      <c r="AT127" s="28"/>
    </row>
    <row r="128" spans="1:46" s="10" customFormat="1" ht="18" hidden="1" customHeight="1">
      <c r="A128" s="5"/>
      <c r="B128" s="86"/>
      <c r="C128" s="98"/>
      <c r="D128" s="1033"/>
      <c r="E128" s="1033"/>
      <c r="F128" s="147" t="s">
        <v>171</v>
      </c>
      <c r="G128" s="133" t="s">
        <v>172</v>
      </c>
      <c r="H128" s="31">
        <v>0</v>
      </c>
      <c r="I128" s="90"/>
      <c r="J128" s="31">
        <v>0</v>
      </c>
      <c r="K128" s="90"/>
      <c r="L128" s="31"/>
      <c r="M128" s="661"/>
      <c r="N128" s="89">
        <f t="shared" si="25"/>
        <v>0</v>
      </c>
      <c r="O128" s="34"/>
      <c r="P128" s="31"/>
      <c r="Q128" s="90"/>
      <c r="R128" s="31"/>
      <c r="S128" s="90"/>
      <c r="T128" s="31"/>
      <c r="U128" s="661"/>
      <c r="V128" s="101">
        <f t="shared" si="22"/>
        <v>0</v>
      </c>
      <c r="W128" s="34"/>
      <c r="X128" s="31"/>
      <c r="Y128" s="90"/>
      <c r="Z128" s="31"/>
      <c r="AA128" s="90"/>
      <c r="AB128" s="31"/>
      <c r="AC128" s="661"/>
      <c r="AD128" s="89">
        <f t="shared" si="23"/>
        <v>0</v>
      </c>
      <c r="AE128" s="34"/>
      <c r="AF128" s="31"/>
      <c r="AG128" s="90"/>
      <c r="AH128" s="31"/>
      <c r="AI128" s="90"/>
      <c r="AJ128" s="31"/>
      <c r="AK128" s="661"/>
      <c r="AL128" s="101">
        <f t="shared" si="24"/>
        <v>0</v>
      </c>
      <c r="AM128" s="34"/>
      <c r="AN128" s="585">
        <f t="shared" si="21"/>
        <v>0</v>
      </c>
      <c r="AO128" s="40"/>
      <c r="AP128" s="28"/>
      <c r="AQ128" s="28"/>
      <c r="AR128" s="28"/>
      <c r="AS128" s="28"/>
      <c r="AT128" s="28"/>
    </row>
    <row r="129" spans="1:46" s="10" customFormat="1" ht="18" customHeight="1">
      <c r="A129" s="5"/>
      <c r="B129" s="86"/>
      <c r="C129" s="98"/>
      <c r="D129" s="1033"/>
      <c r="E129" s="1033"/>
      <c r="F129" s="147" t="s">
        <v>589</v>
      </c>
      <c r="G129" s="133" t="s">
        <v>590</v>
      </c>
      <c r="H129" s="31">
        <v>0</v>
      </c>
      <c r="I129" s="90"/>
      <c r="J129" s="31">
        <v>990000</v>
      </c>
      <c r="K129" s="90"/>
      <c r="L129" s="31">
        <v>0</v>
      </c>
      <c r="M129" s="661"/>
      <c r="N129" s="89">
        <f t="shared" si="25"/>
        <v>990000</v>
      </c>
      <c r="O129" s="34"/>
      <c r="P129" s="31"/>
      <c r="Q129" s="90"/>
      <c r="R129" s="31"/>
      <c r="S129" s="90"/>
      <c r="T129" s="31"/>
      <c r="U129" s="661"/>
      <c r="V129" s="101">
        <f t="shared" si="22"/>
        <v>0</v>
      </c>
      <c r="W129" s="34"/>
      <c r="X129" s="31"/>
      <c r="Y129" s="90"/>
      <c r="Z129" s="31"/>
      <c r="AA129" s="90"/>
      <c r="AB129" s="31"/>
      <c r="AC129" s="661"/>
      <c r="AD129" s="89">
        <f t="shared" si="23"/>
        <v>0</v>
      </c>
      <c r="AE129" s="34"/>
      <c r="AF129" s="31"/>
      <c r="AG129" s="90"/>
      <c r="AH129" s="31"/>
      <c r="AI129" s="90"/>
      <c r="AJ129" s="31"/>
      <c r="AK129" s="661"/>
      <c r="AL129" s="101">
        <f t="shared" si="24"/>
        <v>0</v>
      </c>
      <c r="AM129" s="34"/>
      <c r="AN129" s="585">
        <f t="shared" si="21"/>
        <v>990000</v>
      </c>
      <c r="AO129" s="40"/>
      <c r="AP129" s="28"/>
      <c r="AQ129" s="28"/>
      <c r="AR129" s="28"/>
      <c r="AS129" s="28"/>
      <c r="AT129" s="28"/>
    </row>
    <row r="130" spans="1:46" s="10" customFormat="1" ht="18" customHeight="1">
      <c r="A130" s="5"/>
      <c r="B130" s="86"/>
      <c r="C130" s="98"/>
      <c r="D130" s="1033"/>
      <c r="E130" s="1033"/>
      <c r="F130" s="147" t="s">
        <v>640</v>
      </c>
      <c r="G130" s="133" t="s">
        <v>641</v>
      </c>
      <c r="H130" s="31">
        <v>0</v>
      </c>
      <c r="I130" s="90"/>
      <c r="J130" s="31">
        <v>0</v>
      </c>
      <c r="K130" s="90"/>
      <c r="L130" s="31">
        <v>82000</v>
      </c>
      <c r="M130" s="661"/>
      <c r="N130" s="89">
        <f t="shared" si="25"/>
        <v>82000</v>
      </c>
      <c r="O130" s="34"/>
      <c r="P130" s="31"/>
      <c r="Q130" s="90"/>
      <c r="R130" s="31"/>
      <c r="S130" s="90"/>
      <c r="T130" s="31"/>
      <c r="U130" s="661"/>
      <c r="V130" s="101"/>
      <c r="W130" s="34"/>
      <c r="X130" s="31"/>
      <c r="Y130" s="90"/>
      <c r="Z130" s="31"/>
      <c r="AA130" s="90"/>
      <c r="AB130" s="31"/>
      <c r="AC130" s="661"/>
      <c r="AD130" s="89"/>
      <c r="AE130" s="34"/>
      <c r="AF130" s="31"/>
      <c r="AG130" s="90"/>
      <c r="AH130" s="31"/>
      <c r="AI130" s="90"/>
      <c r="AJ130" s="31"/>
      <c r="AK130" s="661"/>
      <c r="AL130" s="101"/>
      <c r="AM130" s="34"/>
      <c r="AN130" s="585">
        <f t="shared" si="21"/>
        <v>82000</v>
      </c>
      <c r="AO130" s="40"/>
      <c r="AP130" s="28"/>
      <c r="AQ130" s="28"/>
      <c r="AR130" s="28"/>
      <c r="AS130" s="28"/>
      <c r="AT130" s="28"/>
    </row>
    <row r="131" spans="1:46" s="10" customFormat="1" ht="18" customHeight="1">
      <c r="A131" s="5"/>
      <c r="B131" s="86"/>
      <c r="C131" s="98"/>
      <c r="D131" s="1033"/>
      <c r="E131" s="1033"/>
      <c r="F131" s="147" t="s">
        <v>204</v>
      </c>
      <c r="G131" s="133" t="s">
        <v>639</v>
      </c>
      <c r="H131" s="31">
        <v>0</v>
      </c>
      <c r="I131" s="90"/>
      <c r="J131" s="31">
        <v>0</v>
      </c>
      <c r="K131" s="90"/>
      <c r="L131" s="31">
        <v>900000</v>
      </c>
      <c r="M131" s="661"/>
      <c r="N131" s="89">
        <f t="shared" si="25"/>
        <v>900000</v>
      </c>
      <c r="O131" s="34"/>
      <c r="P131" s="31"/>
      <c r="Q131" s="90"/>
      <c r="R131" s="31"/>
      <c r="S131" s="90"/>
      <c r="T131" s="31"/>
      <c r="U131" s="661"/>
      <c r="V131" s="101"/>
      <c r="W131" s="34"/>
      <c r="X131" s="31"/>
      <c r="Y131" s="90"/>
      <c r="Z131" s="31"/>
      <c r="AA131" s="90"/>
      <c r="AB131" s="31"/>
      <c r="AC131" s="661"/>
      <c r="AD131" s="89"/>
      <c r="AE131" s="34"/>
      <c r="AF131" s="31"/>
      <c r="AG131" s="90"/>
      <c r="AH131" s="31"/>
      <c r="AI131" s="90"/>
      <c r="AJ131" s="31"/>
      <c r="AK131" s="661"/>
      <c r="AL131" s="101"/>
      <c r="AM131" s="34"/>
      <c r="AN131" s="585">
        <f t="shared" si="21"/>
        <v>900000</v>
      </c>
      <c r="AO131" s="40"/>
      <c r="AP131" s="28"/>
      <c r="AQ131" s="28"/>
      <c r="AR131" s="28"/>
      <c r="AS131" s="28"/>
      <c r="AT131" s="28"/>
    </row>
    <row r="132" spans="1:46" s="10" customFormat="1" ht="18" customHeight="1">
      <c r="A132" s="5"/>
      <c r="B132" s="86"/>
      <c r="C132" s="98"/>
      <c r="D132" s="1033"/>
      <c r="E132" s="1033"/>
      <c r="F132" s="147" t="s">
        <v>635</v>
      </c>
      <c r="G132" s="133" t="s">
        <v>638</v>
      </c>
      <c r="H132" s="31">
        <v>0</v>
      </c>
      <c r="I132" s="90"/>
      <c r="J132" s="31">
        <v>0</v>
      </c>
      <c r="K132" s="90"/>
      <c r="L132" s="31">
        <v>900000</v>
      </c>
      <c r="M132" s="661"/>
      <c r="N132" s="89">
        <f t="shared" si="25"/>
        <v>900000</v>
      </c>
      <c r="O132" s="34"/>
      <c r="P132" s="31"/>
      <c r="Q132" s="90"/>
      <c r="R132" s="31"/>
      <c r="S132" s="90"/>
      <c r="T132" s="31"/>
      <c r="U132" s="661"/>
      <c r="V132" s="101"/>
      <c r="W132" s="34"/>
      <c r="X132" s="31"/>
      <c r="Y132" s="90"/>
      <c r="Z132" s="31"/>
      <c r="AA132" s="90"/>
      <c r="AB132" s="31"/>
      <c r="AC132" s="661"/>
      <c r="AD132" s="89"/>
      <c r="AE132" s="34"/>
      <c r="AF132" s="31"/>
      <c r="AG132" s="90"/>
      <c r="AH132" s="31"/>
      <c r="AI132" s="90"/>
      <c r="AJ132" s="31"/>
      <c r="AK132" s="661"/>
      <c r="AL132" s="101"/>
      <c r="AM132" s="34"/>
      <c r="AN132" s="585">
        <f t="shared" si="21"/>
        <v>900000</v>
      </c>
      <c r="AO132" s="40"/>
      <c r="AP132" s="28"/>
      <c r="AQ132" s="28"/>
      <c r="AR132" s="28"/>
      <c r="AS132" s="28"/>
      <c r="AT132" s="28"/>
    </row>
    <row r="133" spans="1:46" s="10" customFormat="1" ht="18" customHeight="1">
      <c r="A133" s="5"/>
      <c r="B133" s="86"/>
      <c r="C133" s="98"/>
      <c r="D133" s="1034"/>
      <c r="E133" s="1034"/>
      <c r="F133" s="149" t="s">
        <v>206</v>
      </c>
      <c r="G133" s="150" t="s">
        <v>207</v>
      </c>
      <c r="H133" s="31">
        <v>500110</v>
      </c>
      <c r="I133" s="90"/>
      <c r="J133" s="31">
        <v>1181590</v>
      </c>
      <c r="K133" s="90"/>
      <c r="L133" s="784">
        <v>290230</v>
      </c>
      <c r="M133" s="661"/>
      <c r="N133" s="89">
        <f t="shared" si="25"/>
        <v>1971930</v>
      </c>
      <c r="O133" s="34"/>
      <c r="P133" s="31"/>
      <c r="Q133" s="90"/>
      <c r="R133" s="31"/>
      <c r="S133" s="90"/>
      <c r="T133" s="31"/>
      <c r="U133" s="661"/>
      <c r="V133" s="101">
        <f t="shared" si="22"/>
        <v>0</v>
      </c>
      <c r="W133" s="34"/>
      <c r="X133" s="31"/>
      <c r="Y133" s="90"/>
      <c r="Z133" s="31"/>
      <c r="AA133" s="90"/>
      <c r="AB133" s="31"/>
      <c r="AC133" s="661"/>
      <c r="AD133" s="89">
        <f t="shared" si="23"/>
        <v>0</v>
      </c>
      <c r="AE133" s="34"/>
      <c r="AF133" s="31"/>
      <c r="AG133" s="90"/>
      <c r="AH133" s="31"/>
      <c r="AI133" s="90"/>
      <c r="AJ133" s="31"/>
      <c r="AK133" s="661"/>
      <c r="AL133" s="101">
        <f t="shared" si="24"/>
        <v>0</v>
      </c>
      <c r="AM133" s="34"/>
      <c r="AN133" s="585">
        <f t="shared" si="21"/>
        <v>1971930</v>
      </c>
      <c r="AO133" s="40" t="s">
        <v>208</v>
      </c>
      <c r="AP133" s="28"/>
      <c r="AQ133" s="28"/>
      <c r="AR133" s="28"/>
      <c r="AS133" s="28"/>
      <c r="AT133" s="28"/>
    </row>
    <row r="134" spans="1:46" s="10" customFormat="1" ht="18" customHeight="1">
      <c r="A134" s="5"/>
      <c r="B134" s="86"/>
      <c r="C134" s="98"/>
      <c r="D134" s="1065" t="s">
        <v>514</v>
      </c>
      <c r="E134" s="1066"/>
      <c r="F134" s="1066"/>
      <c r="G134" s="1067"/>
      <c r="H134" s="605">
        <f>SUM(H118:H133)</f>
        <v>2903951</v>
      </c>
      <c r="I134" s="635"/>
      <c r="J134" s="605">
        <f>SUM(J118:J133)</f>
        <v>5397772</v>
      </c>
      <c r="K134" s="635"/>
      <c r="L134" s="605">
        <f>SUM(L118:L133)</f>
        <v>3115412</v>
      </c>
      <c r="M134" s="684"/>
      <c r="N134" s="607">
        <f t="shared" si="25"/>
        <v>11417135</v>
      </c>
      <c r="O134" s="636"/>
      <c r="P134" s="605">
        <f>SUM(P118:P133)</f>
        <v>0</v>
      </c>
      <c r="Q134" s="635"/>
      <c r="R134" s="605">
        <f>SUM(R118:R133)</f>
        <v>0</v>
      </c>
      <c r="S134" s="635"/>
      <c r="T134" s="605">
        <f>SUM(T118:T133)</f>
        <v>0</v>
      </c>
      <c r="U134" s="684"/>
      <c r="V134" s="609">
        <f t="shared" si="22"/>
        <v>0</v>
      </c>
      <c r="W134" s="636"/>
      <c r="X134" s="605">
        <f>SUM(X118:X133)</f>
        <v>0</v>
      </c>
      <c r="Y134" s="635"/>
      <c r="Z134" s="605">
        <f>SUM(Z118:Z133)</f>
        <v>0</v>
      </c>
      <c r="AA134" s="635"/>
      <c r="AB134" s="605">
        <f>SUM(AB118:AB133)</f>
        <v>0</v>
      </c>
      <c r="AC134" s="684"/>
      <c r="AD134" s="607">
        <f t="shared" si="23"/>
        <v>0</v>
      </c>
      <c r="AE134" s="636"/>
      <c r="AF134" s="605">
        <f>SUM(AF118:AF133)</f>
        <v>0</v>
      </c>
      <c r="AG134" s="635"/>
      <c r="AH134" s="605">
        <f>SUM(AH118:AH133)</f>
        <v>0</v>
      </c>
      <c r="AI134" s="635"/>
      <c r="AJ134" s="605">
        <f>SUM(AJ118:AJ133)</f>
        <v>0</v>
      </c>
      <c r="AK134" s="684"/>
      <c r="AL134" s="609">
        <f t="shared" si="24"/>
        <v>0</v>
      </c>
      <c r="AM134" s="636"/>
      <c r="AN134" s="609">
        <f t="shared" si="21"/>
        <v>11417135</v>
      </c>
      <c r="AO134" s="637"/>
      <c r="AP134" s="28"/>
      <c r="AQ134" s="28"/>
      <c r="AR134" s="28"/>
      <c r="AS134" s="28"/>
      <c r="AT134" s="28"/>
    </row>
    <row r="135" spans="1:46" s="10" customFormat="1" ht="18" customHeight="1">
      <c r="A135" s="5"/>
      <c r="B135" s="86"/>
      <c r="C135" s="98"/>
      <c r="D135" s="1099" t="s">
        <v>130</v>
      </c>
      <c r="E135" s="1099" t="s">
        <v>130</v>
      </c>
      <c r="F135" s="507" t="s">
        <v>209</v>
      </c>
      <c r="G135" s="133" t="s">
        <v>210</v>
      </c>
      <c r="H135" s="31">
        <v>150000</v>
      </c>
      <c r="I135" s="90"/>
      <c r="J135" s="31">
        <v>150000</v>
      </c>
      <c r="K135" s="90"/>
      <c r="L135" s="31">
        <v>150000</v>
      </c>
      <c r="M135" s="661"/>
      <c r="N135" s="89">
        <f t="shared" si="25"/>
        <v>450000</v>
      </c>
      <c r="O135" s="34"/>
      <c r="P135" s="31"/>
      <c r="Q135" s="90"/>
      <c r="R135" s="31"/>
      <c r="S135" s="90"/>
      <c r="T135" s="31"/>
      <c r="U135" s="661"/>
      <c r="V135" s="101">
        <f t="shared" si="22"/>
        <v>0</v>
      </c>
      <c r="W135" s="34"/>
      <c r="X135" s="31"/>
      <c r="Y135" s="90"/>
      <c r="Z135" s="31"/>
      <c r="AA135" s="90"/>
      <c r="AB135" s="31"/>
      <c r="AC135" s="661"/>
      <c r="AD135" s="89">
        <f t="shared" si="23"/>
        <v>0</v>
      </c>
      <c r="AE135" s="34"/>
      <c r="AF135" s="31"/>
      <c r="AG135" s="90"/>
      <c r="AH135" s="31"/>
      <c r="AI135" s="90"/>
      <c r="AJ135" s="31"/>
      <c r="AK135" s="661"/>
      <c r="AL135" s="101">
        <f t="shared" si="24"/>
        <v>0</v>
      </c>
      <c r="AM135" s="34"/>
      <c r="AN135" s="585">
        <f t="shared" si="21"/>
        <v>450000</v>
      </c>
      <c r="AO135" s="40"/>
      <c r="AP135" s="28"/>
      <c r="AQ135" s="28"/>
      <c r="AR135" s="28"/>
      <c r="AS135" s="28"/>
      <c r="AT135" s="28"/>
    </row>
    <row r="136" spans="1:46" s="10" customFormat="1" ht="18" customHeight="1">
      <c r="A136" s="5"/>
      <c r="B136" s="86"/>
      <c r="C136" s="98"/>
      <c r="D136" s="1100"/>
      <c r="E136" s="1100"/>
      <c r="F136" s="507" t="s">
        <v>211</v>
      </c>
      <c r="G136" s="133" t="s">
        <v>212</v>
      </c>
      <c r="H136" s="31">
        <v>200000</v>
      </c>
      <c r="I136" s="90"/>
      <c r="J136" s="31">
        <v>200000</v>
      </c>
      <c r="K136" s="90"/>
      <c r="L136" s="31">
        <v>200000</v>
      </c>
      <c r="M136" s="661"/>
      <c r="N136" s="89">
        <f t="shared" si="25"/>
        <v>600000</v>
      </c>
      <c r="O136" s="34"/>
      <c r="P136" s="31"/>
      <c r="Q136" s="90"/>
      <c r="R136" s="31"/>
      <c r="S136" s="90"/>
      <c r="T136" s="31"/>
      <c r="U136" s="661"/>
      <c r="V136" s="101">
        <f t="shared" si="22"/>
        <v>0</v>
      </c>
      <c r="W136" s="34"/>
      <c r="X136" s="31"/>
      <c r="Y136" s="90"/>
      <c r="Z136" s="31"/>
      <c r="AA136" s="90"/>
      <c r="AB136" s="31"/>
      <c r="AC136" s="661"/>
      <c r="AD136" s="89">
        <f t="shared" si="23"/>
        <v>0</v>
      </c>
      <c r="AE136" s="34"/>
      <c r="AF136" s="31"/>
      <c r="AG136" s="90"/>
      <c r="AH136" s="31"/>
      <c r="AI136" s="90"/>
      <c r="AJ136" s="31"/>
      <c r="AK136" s="661"/>
      <c r="AL136" s="101">
        <f t="shared" si="24"/>
        <v>0</v>
      </c>
      <c r="AM136" s="34"/>
      <c r="AN136" s="585">
        <f t="shared" si="21"/>
        <v>600000</v>
      </c>
      <c r="AO136" s="40"/>
      <c r="AP136" s="28"/>
      <c r="AQ136" s="28"/>
      <c r="AR136" s="28"/>
      <c r="AS136" s="28"/>
      <c r="AT136" s="28"/>
    </row>
    <row r="137" spans="1:46" s="10" customFormat="1" ht="18" customHeight="1">
      <c r="A137" s="5"/>
      <c r="B137" s="86"/>
      <c r="C137" s="98"/>
      <c r="D137" s="1100"/>
      <c r="E137" s="1100"/>
      <c r="F137" s="507" t="s">
        <v>173</v>
      </c>
      <c r="G137" s="133" t="s">
        <v>591</v>
      </c>
      <c r="H137" s="31">
        <v>1000000</v>
      </c>
      <c r="I137" s="90"/>
      <c r="J137" s="31">
        <v>1000000</v>
      </c>
      <c r="K137" s="90"/>
      <c r="L137" s="31">
        <v>1000000</v>
      </c>
      <c r="M137" s="661"/>
      <c r="N137" s="89">
        <f t="shared" si="25"/>
        <v>3000000</v>
      </c>
      <c r="O137" s="34"/>
      <c r="P137" s="31"/>
      <c r="Q137" s="90"/>
      <c r="R137" s="31"/>
      <c r="S137" s="90"/>
      <c r="T137" s="31"/>
      <c r="U137" s="661"/>
      <c r="V137" s="101">
        <f t="shared" si="22"/>
        <v>0</v>
      </c>
      <c r="W137" s="34"/>
      <c r="X137" s="31"/>
      <c r="Y137" s="90"/>
      <c r="Z137" s="31"/>
      <c r="AA137" s="90"/>
      <c r="AB137" s="31"/>
      <c r="AC137" s="661"/>
      <c r="AD137" s="89">
        <f t="shared" si="23"/>
        <v>0</v>
      </c>
      <c r="AE137" s="34"/>
      <c r="AF137" s="31"/>
      <c r="AG137" s="90"/>
      <c r="AH137" s="31"/>
      <c r="AI137" s="90"/>
      <c r="AJ137" s="31"/>
      <c r="AK137" s="661"/>
      <c r="AL137" s="101">
        <f t="shared" si="24"/>
        <v>0</v>
      </c>
      <c r="AM137" s="34"/>
      <c r="AN137" s="585">
        <f t="shared" si="21"/>
        <v>3000000</v>
      </c>
      <c r="AO137" s="40"/>
      <c r="AP137" s="28"/>
      <c r="AQ137" s="28"/>
      <c r="AR137" s="28"/>
      <c r="AS137" s="28"/>
      <c r="AT137" s="28"/>
    </row>
    <row r="138" spans="1:46" s="10" customFormat="1" ht="18" hidden="1" customHeight="1">
      <c r="A138" s="5"/>
      <c r="B138" s="86"/>
      <c r="C138" s="98"/>
      <c r="D138" s="1100"/>
      <c r="E138" s="1100"/>
      <c r="F138" s="508" t="s">
        <v>213</v>
      </c>
      <c r="G138" s="148" t="s">
        <v>214</v>
      </c>
      <c r="H138" s="31">
        <v>0</v>
      </c>
      <c r="I138" s="90"/>
      <c r="J138" s="31">
        <v>0</v>
      </c>
      <c r="K138" s="90"/>
      <c r="L138" s="31"/>
      <c r="M138" s="661"/>
      <c r="N138" s="89">
        <f t="shared" si="25"/>
        <v>0</v>
      </c>
      <c r="O138" s="34"/>
      <c r="P138" s="31"/>
      <c r="Q138" s="90"/>
      <c r="R138" s="31"/>
      <c r="S138" s="90"/>
      <c r="T138" s="31"/>
      <c r="U138" s="661"/>
      <c r="V138" s="101">
        <f t="shared" si="22"/>
        <v>0</v>
      </c>
      <c r="W138" s="34"/>
      <c r="X138" s="31"/>
      <c r="Y138" s="90"/>
      <c r="Z138" s="31"/>
      <c r="AA138" s="90"/>
      <c r="AB138" s="31"/>
      <c r="AC138" s="661"/>
      <c r="AD138" s="89">
        <f t="shared" si="23"/>
        <v>0</v>
      </c>
      <c r="AE138" s="34"/>
      <c r="AF138" s="31"/>
      <c r="AG138" s="90"/>
      <c r="AH138" s="31"/>
      <c r="AI138" s="90"/>
      <c r="AJ138" s="31"/>
      <c r="AK138" s="661"/>
      <c r="AL138" s="101">
        <f t="shared" si="24"/>
        <v>0</v>
      </c>
      <c r="AM138" s="34"/>
      <c r="AN138" s="585">
        <f t="shared" si="21"/>
        <v>0</v>
      </c>
      <c r="AO138" s="40"/>
      <c r="AP138" s="28"/>
      <c r="AQ138" s="28"/>
      <c r="AR138" s="28"/>
      <c r="AS138" s="28"/>
      <c r="AT138" s="28"/>
    </row>
    <row r="139" spans="1:46" s="10" customFormat="1" ht="18" customHeight="1">
      <c r="A139" s="5"/>
      <c r="B139" s="86"/>
      <c r="C139" s="98"/>
      <c r="D139" s="1100"/>
      <c r="E139" s="1100"/>
      <c r="F139" s="507" t="s">
        <v>215</v>
      </c>
      <c r="G139" s="133" t="s">
        <v>216</v>
      </c>
      <c r="H139" s="31">
        <v>0</v>
      </c>
      <c r="I139" s="90"/>
      <c r="J139" s="31">
        <v>38182</v>
      </c>
      <c r="K139" s="90"/>
      <c r="L139" s="31">
        <v>0</v>
      </c>
      <c r="M139" s="661"/>
      <c r="N139" s="89">
        <f t="shared" si="25"/>
        <v>38182</v>
      </c>
      <c r="O139" s="34"/>
      <c r="P139" s="31"/>
      <c r="Q139" s="90"/>
      <c r="R139" s="31"/>
      <c r="S139" s="90"/>
      <c r="T139" s="31"/>
      <c r="U139" s="661"/>
      <c r="V139" s="101">
        <f t="shared" si="22"/>
        <v>0</v>
      </c>
      <c r="W139" s="34"/>
      <c r="X139" s="31"/>
      <c r="Y139" s="90"/>
      <c r="Z139" s="31"/>
      <c r="AA139" s="90"/>
      <c r="AB139" s="31"/>
      <c r="AC139" s="661"/>
      <c r="AD139" s="89">
        <f t="shared" si="23"/>
        <v>0</v>
      </c>
      <c r="AE139" s="34"/>
      <c r="AF139" s="31"/>
      <c r="AG139" s="90"/>
      <c r="AH139" s="31"/>
      <c r="AI139" s="90"/>
      <c r="AJ139" s="31"/>
      <c r="AK139" s="661"/>
      <c r="AL139" s="101">
        <f t="shared" si="24"/>
        <v>0</v>
      </c>
      <c r="AM139" s="34"/>
      <c r="AN139" s="585">
        <f t="shared" si="21"/>
        <v>38182</v>
      </c>
      <c r="AO139" s="40"/>
      <c r="AP139" s="28"/>
      <c r="AQ139" s="28"/>
      <c r="AR139" s="28"/>
      <c r="AS139" s="28"/>
      <c r="AT139" s="28"/>
    </row>
    <row r="140" spans="1:46" s="10" customFormat="1" ht="18" hidden="1" customHeight="1">
      <c r="A140" s="5"/>
      <c r="B140" s="86"/>
      <c r="C140" s="98"/>
      <c r="D140" s="1100"/>
      <c r="E140" s="1100"/>
      <c r="F140" s="507" t="s">
        <v>486</v>
      </c>
      <c r="G140" s="133" t="s">
        <v>131</v>
      </c>
      <c r="H140" s="31">
        <v>0</v>
      </c>
      <c r="I140" s="90"/>
      <c r="J140" s="31">
        <v>0</v>
      </c>
      <c r="K140" s="90"/>
      <c r="L140" s="31"/>
      <c r="M140" s="661"/>
      <c r="N140" s="89">
        <f t="shared" si="25"/>
        <v>0</v>
      </c>
      <c r="O140" s="34"/>
      <c r="P140" s="31"/>
      <c r="Q140" s="90"/>
      <c r="R140" s="31"/>
      <c r="S140" s="90"/>
      <c r="T140" s="31"/>
      <c r="U140" s="661"/>
      <c r="V140" s="101">
        <f t="shared" si="22"/>
        <v>0</v>
      </c>
      <c r="W140" s="34"/>
      <c r="X140" s="31"/>
      <c r="Y140" s="90"/>
      <c r="Z140" s="31"/>
      <c r="AA140" s="90"/>
      <c r="AB140" s="31"/>
      <c r="AC140" s="661"/>
      <c r="AD140" s="89">
        <f t="shared" si="23"/>
        <v>0</v>
      </c>
      <c r="AE140" s="34"/>
      <c r="AF140" s="31"/>
      <c r="AG140" s="90"/>
      <c r="AH140" s="31"/>
      <c r="AI140" s="90"/>
      <c r="AJ140" s="31"/>
      <c r="AK140" s="661"/>
      <c r="AL140" s="101">
        <f t="shared" si="24"/>
        <v>0</v>
      </c>
      <c r="AM140" s="34"/>
      <c r="AN140" s="585">
        <f t="shared" si="21"/>
        <v>0</v>
      </c>
      <c r="AO140" s="40"/>
      <c r="AP140" s="28"/>
      <c r="AQ140" s="28"/>
      <c r="AR140" s="28"/>
      <c r="AS140" s="28"/>
      <c r="AT140" s="28"/>
    </row>
    <row r="141" spans="1:46" s="10" customFormat="1" ht="18" hidden="1" customHeight="1">
      <c r="A141" s="5"/>
      <c r="B141" s="86">
        <v>100</v>
      </c>
      <c r="C141" s="98" t="s">
        <v>249</v>
      </c>
      <c r="D141" s="1100"/>
      <c r="E141" s="1100"/>
      <c r="F141" s="507" t="s">
        <v>257</v>
      </c>
      <c r="G141" s="133" t="s">
        <v>258</v>
      </c>
      <c r="H141" s="30">
        <v>0</v>
      </c>
      <c r="I141" s="90"/>
      <c r="J141" s="30">
        <v>0</v>
      </c>
      <c r="K141" s="90"/>
      <c r="L141" s="32"/>
      <c r="M141" s="661"/>
      <c r="N141" s="89">
        <f t="shared" si="25"/>
        <v>0</v>
      </c>
      <c r="O141" s="34"/>
      <c r="P141" s="32"/>
      <c r="Q141" s="90"/>
      <c r="R141" s="32"/>
      <c r="S141" s="90"/>
      <c r="T141" s="32"/>
      <c r="U141" s="661"/>
      <c r="V141" s="89">
        <f t="shared" si="22"/>
        <v>0</v>
      </c>
      <c r="W141" s="34"/>
      <c r="X141" s="32"/>
      <c r="Y141" s="90"/>
      <c r="Z141" s="32"/>
      <c r="AA141" s="90"/>
      <c r="AB141" s="32"/>
      <c r="AC141" s="661"/>
      <c r="AD141" s="89">
        <f t="shared" si="23"/>
        <v>0</v>
      </c>
      <c r="AE141" s="34"/>
      <c r="AF141" s="32"/>
      <c r="AG141" s="90"/>
      <c r="AH141" s="32"/>
      <c r="AI141" s="90"/>
      <c r="AJ141" s="32"/>
      <c r="AK141" s="661"/>
      <c r="AL141" s="89">
        <f t="shared" si="24"/>
        <v>0</v>
      </c>
      <c r="AM141" s="34"/>
      <c r="AN141" s="585">
        <f t="shared" si="21"/>
        <v>0</v>
      </c>
      <c r="AO141" s="40"/>
      <c r="AP141" s="28"/>
      <c r="AQ141" s="28"/>
      <c r="AR141" s="28"/>
      <c r="AS141" s="28"/>
      <c r="AT141" s="28"/>
    </row>
    <row r="142" spans="1:46" s="10" customFormat="1" ht="18" customHeight="1">
      <c r="B142" s="86"/>
      <c r="C142" s="98"/>
      <c r="D142" s="1100"/>
      <c r="E142" s="1100"/>
      <c r="F142" s="552" t="s">
        <v>92</v>
      </c>
      <c r="G142" s="100" t="s">
        <v>93</v>
      </c>
      <c r="H142" s="402">
        <v>465350</v>
      </c>
      <c r="I142" s="405"/>
      <c r="J142" s="402">
        <v>465350</v>
      </c>
      <c r="K142" s="405"/>
      <c r="L142" s="402">
        <v>465350</v>
      </c>
      <c r="M142" s="662"/>
      <c r="N142" s="406">
        <f>SUM(H142,J142,L142)</f>
        <v>1396050</v>
      </c>
      <c r="O142" s="407"/>
      <c r="P142" s="402"/>
      <c r="Q142" s="405"/>
      <c r="R142" s="402"/>
      <c r="S142" s="405"/>
      <c r="T142" s="402"/>
      <c r="U142" s="662"/>
      <c r="V142" s="408">
        <f t="shared" si="22"/>
        <v>0</v>
      </c>
      <c r="W142" s="407"/>
      <c r="X142" s="402"/>
      <c r="Y142" s="405"/>
      <c r="Z142" s="402"/>
      <c r="AA142" s="405"/>
      <c r="AB142" s="402"/>
      <c r="AC142" s="662"/>
      <c r="AD142" s="406">
        <f t="shared" si="23"/>
        <v>0</v>
      </c>
      <c r="AE142" s="407"/>
      <c r="AF142" s="402"/>
      <c r="AG142" s="405"/>
      <c r="AH142" s="402"/>
      <c r="AI142" s="405"/>
      <c r="AJ142" s="402"/>
      <c r="AK142" s="662"/>
      <c r="AL142" s="406">
        <f t="shared" si="24"/>
        <v>0</v>
      </c>
      <c r="AM142" s="407"/>
      <c r="AN142" s="584">
        <f t="shared" si="21"/>
        <v>1396050</v>
      </c>
      <c r="AO142" s="40"/>
      <c r="AP142" s="28" t="s">
        <v>94</v>
      </c>
      <c r="AQ142" s="28"/>
      <c r="AR142" s="28"/>
      <c r="AS142" s="28"/>
    </row>
    <row r="143" spans="1:46" s="10" customFormat="1" ht="18" customHeight="1">
      <c r="B143" s="86"/>
      <c r="C143" s="98"/>
      <c r="D143" s="1189"/>
      <c r="E143" s="1189"/>
      <c r="F143" s="553" t="s">
        <v>493</v>
      </c>
      <c r="G143" s="100" t="s">
        <v>511</v>
      </c>
      <c r="H143" s="402">
        <f>H49</f>
        <v>3000000</v>
      </c>
      <c r="I143" s="405"/>
      <c r="J143" s="402">
        <f>J49</f>
        <v>3123840</v>
      </c>
      <c r="K143" s="405"/>
      <c r="L143" s="402">
        <f>L49</f>
        <v>5380640</v>
      </c>
      <c r="M143" s="662"/>
      <c r="N143" s="406">
        <f t="shared" si="25"/>
        <v>11504480</v>
      </c>
      <c r="O143" s="407"/>
      <c r="P143" s="402">
        <f>P49</f>
        <v>0</v>
      </c>
      <c r="Q143" s="405"/>
      <c r="R143" s="402">
        <f>R49</f>
        <v>0</v>
      </c>
      <c r="S143" s="405"/>
      <c r="T143" s="402">
        <f>T49</f>
        <v>0</v>
      </c>
      <c r="U143" s="662"/>
      <c r="V143" s="408">
        <f t="shared" si="22"/>
        <v>0</v>
      </c>
      <c r="W143" s="407"/>
      <c r="X143" s="402">
        <f>X49</f>
        <v>0</v>
      </c>
      <c r="Y143" s="405"/>
      <c r="Z143" s="402">
        <f>Z49</f>
        <v>0</v>
      </c>
      <c r="AA143" s="405"/>
      <c r="AB143" s="402">
        <f>AB49</f>
        <v>0</v>
      </c>
      <c r="AC143" s="662"/>
      <c r="AD143" s="406">
        <f t="shared" si="23"/>
        <v>0</v>
      </c>
      <c r="AE143" s="407"/>
      <c r="AF143" s="402">
        <f>AF49</f>
        <v>0</v>
      </c>
      <c r="AG143" s="405"/>
      <c r="AH143" s="402">
        <f>AH49</f>
        <v>0</v>
      </c>
      <c r="AI143" s="405"/>
      <c r="AJ143" s="402">
        <f>AJ49</f>
        <v>0</v>
      </c>
      <c r="AK143" s="662"/>
      <c r="AL143" s="406">
        <f t="shared" si="24"/>
        <v>0</v>
      </c>
      <c r="AM143" s="407"/>
      <c r="AN143" s="584">
        <f t="shared" si="21"/>
        <v>11504480</v>
      </c>
      <c r="AO143" s="40"/>
      <c r="AP143" s="28"/>
      <c r="AQ143" s="28"/>
      <c r="AR143" s="28"/>
      <c r="AS143" s="28"/>
    </row>
    <row r="144" spans="1:46" s="10" customFormat="1" ht="18" customHeight="1">
      <c r="A144" s="5"/>
      <c r="B144" s="86"/>
      <c r="C144" s="98"/>
      <c r="D144" s="1083" t="s">
        <v>507</v>
      </c>
      <c r="E144" s="1084"/>
      <c r="F144" s="1084"/>
      <c r="G144" s="1085"/>
      <c r="H144" s="509">
        <f>SUM(H135:H143)</f>
        <v>4815350</v>
      </c>
      <c r="I144" s="510"/>
      <c r="J144" s="509">
        <f>SUM(J135:J143)</f>
        <v>4977372</v>
      </c>
      <c r="K144" s="510"/>
      <c r="L144" s="511">
        <f>SUM(L135:L143)</f>
        <v>7195990</v>
      </c>
      <c r="M144" s="685"/>
      <c r="N144" s="512">
        <f t="shared" si="25"/>
        <v>16988712</v>
      </c>
      <c r="O144" s="513"/>
      <c r="P144" s="511">
        <f>SUM(P135:P143)</f>
        <v>0</v>
      </c>
      <c r="Q144" s="510"/>
      <c r="R144" s="511">
        <f>SUM(R135:R143)</f>
        <v>0</v>
      </c>
      <c r="S144" s="510"/>
      <c r="T144" s="511">
        <f>SUM(T135:T143)</f>
        <v>0</v>
      </c>
      <c r="U144" s="685"/>
      <c r="V144" s="514">
        <f t="shared" si="22"/>
        <v>0</v>
      </c>
      <c r="W144" s="513"/>
      <c r="X144" s="511">
        <f>SUM(X135:X143)</f>
        <v>0</v>
      </c>
      <c r="Y144" s="510"/>
      <c r="Z144" s="511">
        <f>SUM(Z135:Z143)</f>
        <v>0</v>
      </c>
      <c r="AA144" s="510"/>
      <c r="AB144" s="511">
        <f>SUM(AB135:AB143)</f>
        <v>0</v>
      </c>
      <c r="AC144" s="685"/>
      <c r="AD144" s="512">
        <f t="shared" si="23"/>
        <v>0</v>
      </c>
      <c r="AE144" s="513"/>
      <c r="AF144" s="511">
        <f>SUM(AF135:AF143)</f>
        <v>0</v>
      </c>
      <c r="AG144" s="510"/>
      <c r="AH144" s="511">
        <f>SUM(AH135:AH143)</f>
        <v>0</v>
      </c>
      <c r="AI144" s="510"/>
      <c r="AJ144" s="511">
        <f>SUM(AJ135:AJ143)</f>
        <v>0</v>
      </c>
      <c r="AK144" s="685"/>
      <c r="AL144" s="514">
        <f t="shared" si="24"/>
        <v>0</v>
      </c>
      <c r="AM144" s="513"/>
      <c r="AN144" s="514">
        <f t="shared" si="21"/>
        <v>16988712</v>
      </c>
      <c r="AO144" s="506"/>
      <c r="AP144" s="28"/>
      <c r="AQ144" s="28"/>
      <c r="AR144" s="28"/>
      <c r="AS144" s="28"/>
      <c r="AT144" s="28"/>
    </row>
    <row r="145" spans="1:46" s="10" customFormat="1" ht="18" customHeight="1">
      <c r="A145" s="5"/>
      <c r="B145" s="86"/>
      <c r="C145" s="98"/>
      <c r="D145" s="1160" t="s">
        <v>224</v>
      </c>
      <c r="E145" s="1160" t="s">
        <v>224</v>
      </c>
      <c r="F145" s="543" t="s">
        <v>225</v>
      </c>
      <c r="G145" s="475" t="s">
        <v>226</v>
      </c>
      <c r="H145" s="31">
        <v>0</v>
      </c>
      <c r="I145" s="90"/>
      <c r="J145" s="31">
        <v>0</v>
      </c>
      <c r="K145" s="90"/>
      <c r="L145" s="31">
        <v>0</v>
      </c>
      <c r="M145" s="661"/>
      <c r="N145" s="89">
        <f t="shared" si="25"/>
        <v>0</v>
      </c>
      <c r="O145" s="34"/>
      <c r="P145" s="31"/>
      <c r="Q145" s="90"/>
      <c r="R145" s="31"/>
      <c r="S145" s="90"/>
      <c r="T145" s="31"/>
      <c r="U145" s="661"/>
      <c r="V145" s="101">
        <f t="shared" si="22"/>
        <v>0</v>
      </c>
      <c r="W145" s="34"/>
      <c r="X145" s="31"/>
      <c r="Y145" s="90"/>
      <c r="Z145" s="31"/>
      <c r="AA145" s="90"/>
      <c r="AB145" s="31"/>
      <c r="AC145" s="661"/>
      <c r="AD145" s="89">
        <f t="shared" si="23"/>
        <v>0</v>
      </c>
      <c r="AE145" s="34"/>
      <c r="AF145" s="31"/>
      <c r="AG145" s="90"/>
      <c r="AH145" s="31"/>
      <c r="AI145" s="90"/>
      <c r="AJ145" s="31"/>
      <c r="AK145" s="661"/>
      <c r="AL145" s="101">
        <f t="shared" si="24"/>
        <v>0</v>
      </c>
      <c r="AM145" s="34"/>
      <c r="AN145" s="585">
        <f t="shared" ref="AN145:AN179" si="26">SUM(N145+V145+AD145+AL145)</f>
        <v>0</v>
      </c>
      <c r="AO145" s="40"/>
      <c r="AP145" s="28"/>
      <c r="AQ145" s="28"/>
      <c r="AR145" s="28"/>
      <c r="AS145" s="28"/>
      <c r="AT145" s="28"/>
    </row>
    <row r="146" spans="1:46" s="10" customFormat="1" ht="18" customHeight="1">
      <c r="A146" s="5"/>
      <c r="B146" s="86"/>
      <c r="C146" s="98" t="s">
        <v>249</v>
      </c>
      <c r="D146" s="1161"/>
      <c r="E146" s="1161"/>
      <c r="F146" s="544" t="s">
        <v>259</v>
      </c>
      <c r="G146" s="153" t="s">
        <v>260</v>
      </c>
      <c r="H146" s="30">
        <v>0</v>
      </c>
      <c r="I146" s="90"/>
      <c r="J146" s="30">
        <v>0</v>
      </c>
      <c r="K146" s="90"/>
      <c r="L146" s="32">
        <v>0</v>
      </c>
      <c r="M146" s="661"/>
      <c r="N146" s="89">
        <f t="shared" si="25"/>
        <v>0</v>
      </c>
      <c r="O146" s="34"/>
      <c r="P146" s="32"/>
      <c r="Q146" s="90"/>
      <c r="R146" s="32"/>
      <c r="S146" s="90"/>
      <c r="T146" s="32"/>
      <c r="U146" s="661"/>
      <c r="V146" s="89">
        <f t="shared" si="22"/>
        <v>0</v>
      </c>
      <c r="W146" s="34"/>
      <c r="X146" s="32"/>
      <c r="Y146" s="90"/>
      <c r="Z146" s="32"/>
      <c r="AA146" s="90"/>
      <c r="AB146" s="32"/>
      <c r="AC146" s="661"/>
      <c r="AD146" s="89">
        <f t="shared" si="23"/>
        <v>0</v>
      </c>
      <c r="AE146" s="34"/>
      <c r="AF146" s="32"/>
      <c r="AG146" s="90"/>
      <c r="AH146" s="32"/>
      <c r="AI146" s="90"/>
      <c r="AJ146" s="32"/>
      <c r="AK146" s="661"/>
      <c r="AL146" s="89">
        <f t="shared" si="24"/>
        <v>0</v>
      </c>
      <c r="AM146" s="34"/>
      <c r="AN146" s="585">
        <f t="shared" si="26"/>
        <v>0</v>
      </c>
      <c r="AO146" s="40"/>
      <c r="AP146" s="28"/>
      <c r="AQ146" s="28"/>
      <c r="AR146" s="28"/>
      <c r="AS146" s="28"/>
      <c r="AT146" s="28"/>
    </row>
    <row r="147" spans="1:46" s="10" customFormat="1" ht="18" customHeight="1">
      <c r="A147" s="5"/>
      <c r="B147" s="86"/>
      <c r="C147" s="98"/>
      <c r="D147" s="1056" t="s">
        <v>509</v>
      </c>
      <c r="E147" s="1057"/>
      <c r="F147" s="1057"/>
      <c r="G147" s="1058"/>
      <c r="H147" s="545">
        <f>SUM(H145:H146)</f>
        <v>0</v>
      </c>
      <c r="I147" s="546"/>
      <c r="J147" s="545">
        <f>SUM(J145:J146)</f>
        <v>0</v>
      </c>
      <c r="K147" s="546"/>
      <c r="L147" s="547">
        <f>SUM(L145:L146)</f>
        <v>0</v>
      </c>
      <c r="M147" s="686"/>
      <c r="N147" s="548">
        <f t="shared" si="25"/>
        <v>0</v>
      </c>
      <c r="O147" s="549"/>
      <c r="P147" s="547">
        <f>SUM(P145:P146)</f>
        <v>0</v>
      </c>
      <c r="Q147" s="546"/>
      <c r="R147" s="547">
        <f>SUM(R145:R146)</f>
        <v>0</v>
      </c>
      <c r="S147" s="546"/>
      <c r="T147" s="547">
        <f>SUM(T145:T146)</f>
        <v>0</v>
      </c>
      <c r="U147" s="686"/>
      <c r="V147" s="550">
        <f t="shared" si="22"/>
        <v>0</v>
      </c>
      <c r="W147" s="549"/>
      <c r="X147" s="547">
        <f>SUM(X145:X146)</f>
        <v>0</v>
      </c>
      <c r="Y147" s="546"/>
      <c r="Z147" s="547">
        <f>SUM(Z145:Z146)</f>
        <v>0</v>
      </c>
      <c r="AA147" s="546"/>
      <c r="AB147" s="547">
        <f>SUM(AB145:AB146)</f>
        <v>0</v>
      </c>
      <c r="AC147" s="686"/>
      <c r="AD147" s="548">
        <f t="shared" si="23"/>
        <v>0</v>
      </c>
      <c r="AE147" s="549"/>
      <c r="AF147" s="547">
        <f>SUM(AF145:AF146)</f>
        <v>0</v>
      </c>
      <c r="AG147" s="546"/>
      <c r="AH147" s="547">
        <f>SUM(AH145:AH146)</f>
        <v>0</v>
      </c>
      <c r="AI147" s="546"/>
      <c r="AJ147" s="547">
        <f>SUM(AJ145:AJ146)</f>
        <v>0</v>
      </c>
      <c r="AK147" s="686"/>
      <c r="AL147" s="550">
        <f t="shared" si="24"/>
        <v>0</v>
      </c>
      <c r="AM147" s="549"/>
      <c r="AN147" s="550">
        <f t="shared" si="26"/>
        <v>0</v>
      </c>
      <c r="AO147" s="551"/>
      <c r="AP147" s="28"/>
      <c r="AQ147" s="28"/>
      <c r="AR147" s="28"/>
      <c r="AS147" s="28"/>
      <c r="AT147" s="28"/>
    </row>
    <row r="148" spans="1:46" s="10" customFormat="1" ht="18" customHeight="1">
      <c r="A148" s="5"/>
      <c r="B148" s="86"/>
      <c r="C148" s="98"/>
      <c r="D148" s="568" t="s">
        <v>221</v>
      </c>
      <c r="E148" s="568" t="s">
        <v>221</v>
      </c>
      <c r="F148" s="569" t="s">
        <v>222</v>
      </c>
      <c r="G148" s="478" t="s">
        <v>223</v>
      </c>
      <c r="H148" s="31">
        <v>0</v>
      </c>
      <c r="I148" s="90"/>
      <c r="J148" s="31">
        <v>0</v>
      </c>
      <c r="K148" s="90"/>
      <c r="L148" s="31">
        <v>0</v>
      </c>
      <c r="M148" s="661"/>
      <c r="N148" s="89">
        <f t="shared" si="25"/>
        <v>0</v>
      </c>
      <c r="O148" s="34"/>
      <c r="P148" s="31"/>
      <c r="Q148" s="90"/>
      <c r="R148" s="31"/>
      <c r="S148" s="90"/>
      <c r="T148" s="31"/>
      <c r="U148" s="661"/>
      <c r="V148" s="101">
        <f t="shared" si="22"/>
        <v>0</v>
      </c>
      <c r="W148" s="34"/>
      <c r="X148" s="31"/>
      <c r="Y148" s="90"/>
      <c r="Z148" s="31"/>
      <c r="AA148" s="90"/>
      <c r="AB148" s="31"/>
      <c r="AC148" s="661"/>
      <c r="AD148" s="89">
        <f t="shared" si="23"/>
        <v>0</v>
      </c>
      <c r="AE148" s="34"/>
      <c r="AF148" s="31"/>
      <c r="AG148" s="90"/>
      <c r="AH148" s="31"/>
      <c r="AI148" s="90"/>
      <c r="AJ148" s="31"/>
      <c r="AK148" s="661"/>
      <c r="AL148" s="101">
        <f t="shared" si="24"/>
        <v>0</v>
      </c>
      <c r="AM148" s="34"/>
      <c r="AN148" s="585">
        <f t="shared" si="26"/>
        <v>0</v>
      </c>
      <c r="AO148" s="40"/>
      <c r="AP148" s="28"/>
      <c r="AQ148" s="28"/>
      <c r="AR148" s="28"/>
      <c r="AS148" s="28"/>
      <c r="AT148" s="28"/>
    </row>
    <row r="149" spans="1:46" s="10" customFormat="1" ht="18" customHeight="1">
      <c r="A149" s="5"/>
      <c r="B149" s="86"/>
      <c r="C149" s="98"/>
      <c r="D149" s="1053" t="s">
        <v>510</v>
      </c>
      <c r="E149" s="1054"/>
      <c r="F149" s="1054"/>
      <c r="G149" s="1055"/>
      <c r="H149" s="570">
        <f>SUM(H148)</f>
        <v>0</v>
      </c>
      <c r="I149" s="571"/>
      <c r="J149" s="572">
        <f>SUM(J148)</f>
        <v>0</v>
      </c>
      <c r="K149" s="571"/>
      <c r="L149" s="572">
        <f>SUM(L148)</f>
        <v>0</v>
      </c>
      <c r="M149" s="687"/>
      <c r="N149" s="573">
        <f t="shared" si="25"/>
        <v>0</v>
      </c>
      <c r="O149" s="574"/>
      <c r="P149" s="572">
        <f>SUM(P148)</f>
        <v>0</v>
      </c>
      <c r="Q149" s="571"/>
      <c r="R149" s="572">
        <f>SUM(R148)</f>
        <v>0</v>
      </c>
      <c r="S149" s="571"/>
      <c r="T149" s="572">
        <f>SUM(T148)</f>
        <v>0</v>
      </c>
      <c r="U149" s="687"/>
      <c r="V149" s="575">
        <f t="shared" si="22"/>
        <v>0</v>
      </c>
      <c r="W149" s="574"/>
      <c r="X149" s="572">
        <f>SUM(X148)</f>
        <v>0</v>
      </c>
      <c r="Y149" s="571"/>
      <c r="Z149" s="572">
        <f>SUM(Z148)</f>
        <v>0</v>
      </c>
      <c r="AA149" s="571"/>
      <c r="AB149" s="572">
        <f>SUM(AB148)</f>
        <v>0</v>
      </c>
      <c r="AC149" s="687"/>
      <c r="AD149" s="573">
        <f t="shared" si="23"/>
        <v>0</v>
      </c>
      <c r="AE149" s="574"/>
      <c r="AF149" s="572">
        <f>SUM(AF148)</f>
        <v>0</v>
      </c>
      <c r="AG149" s="571"/>
      <c r="AH149" s="572">
        <f>SUM(AH148)</f>
        <v>0</v>
      </c>
      <c r="AI149" s="571"/>
      <c r="AJ149" s="572">
        <f>SUM(AJ148)</f>
        <v>0</v>
      </c>
      <c r="AK149" s="687"/>
      <c r="AL149" s="575">
        <f t="shared" si="24"/>
        <v>0</v>
      </c>
      <c r="AM149" s="574"/>
      <c r="AN149" s="575">
        <f t="shared" si="26"/>
        <v>0</v>
      </c>
      <c r="AO149" s="576"/>
      <c r="AP149" s="28"/>
      <c r="AQ149" s="28"/>
      <c r="AR149" s="28"/>
      <c r="AS149" s="28"/>
      <c r="AT149" s="28"/>
    </row>
    <row r="150" spans="1:46" s="10" customFormat="1" ht="18" customHeight="1">
      <c r="A150" s="5"/>
      <c r="B150" s="86"/>
      <c r="C150" s="98"/>
      <c r="D150" s="118" t="s">
        <v>217</v>
      </c>
      <c r="E150" s="118" t="s">
        <v>218</v>
      </c>
      <c r="F150" s="476" t="s">
        <v>219</v>
      </c>
      <c r="G150" s="477" t="s">
        <v>220</v>
      </c>
      <c r="H150" s="31">
        <v>0</v>
      </c>
      <c r="I150" s="90"/>
      <c r="J150" s="31">
        <v>0</v>
      </c>
      <c r="K150" s="90"/>
      <c r="L150" s="31">
        <v>700000</v>
      </c>
      <c r="M150" s="661"/>
      <c r="N150" s="89">
        <f t="shared" si="25"/>
        <v>700000</v>
      </c>
      <c r="O150" s="34"/>
      <c r="P150" s="31"/>
      <c r="Q150" s="90"/>
      <c r="R150" s="31"/>
      <c r="S150" s="90"/>
      <c r="T150" s="31"/>
      <c r="U150" s="661"/>
      <c r="V150" s="101">
        <f t="shared" si="22"/>
        <v>0</v>
      </c>
      <c r="W150" s="34"/>
      <c r="X150" s="31"/>
      <c r="Y150" s="90"/>
      <c r="Z150" s="31"/>
      <c r="AA150" s="90"/>
      <c r="AB150" s="31"/>
      <c r="AC150" s="661"/>
      <c r="AD150" s="89">
        <f t="shared" si="23"/>
        <v>0</v>
      </c>
      <c r="AE150" s="34"/>
      <c r="AF150" s="31"/>
      <c r="AG150" s="90"/>
      <c r="AH150" s="31"/>
      <c r="AI150" s="90"/>
      <c r="AJ150" s="31"/>
      <c r="AK150" s="661"/>
      <c r="AL150" s="101">
        <f t="shared" si="24"/>
        <v>0</v>
      </c>
      <c r="AM150" s="34"/>
      <c r="AN150" s="585">
        <f t="shared" si="26"/>
        <v>700000</v>
      </c>
      <c r="AO150" s="40"/>
      <c r="AP150" s="28"/>
      <c r="AQ150" s="28"/>
      <c r="AR150" s="28"/>
      <c r="AS150" s="28"/>
      <c r="AT150" s="28"/>
    </row>
    <row r="151" spans="1:46" s="10" customFormat="1" ht="18" customHeight="1">
      <c r="A151" s="5"/>
      <c r="B151" s="86"/>
      <c r="C151" s="98"/>
      <c r="D151" s="1086" t="s">
        <v>515</v>
      </c>
      <c r="E151" s="1087"/>
      <c r="F151" s="1087"/>
      <c r="G151" s="1088"/>
      <c r="H151" s="577">
        <f>SUM(H150)</f>
        <v>0</v>
      </c>
      <c r="I151" s="578"/>
      <c r="J151" s="579">
        <f>SUM(J150)</f>
        <v>0</v>
      </c>
      <c r="K151" s="578"/>
      <c r="L151" s="579">
        <f>SUM(L150)</f>
        <v>700000</v>
      </c>
      <c r="M151" s="688"/>
      <c r="N151" s="580">
        <f t="shared" si="25"/>
        <v>700000</v>
      </c>
      <c r="O151" s="581"/>
      <c r="P151" s="579">
        <f>SUM(P150)</f>
        <v>0</v>
      </c>
      <c r="Q151" s="578"/>
      <c r="R151" s="579">
        <f>SUM(R150)</f>
        <v>0</v>
      </c>
      <c r="S151" s="578"/>
      <c r="T151" s="579">
        <f>SUM(T150)</f>
        <v>0</v>
      </c>
      <c r="U151" s="688"/>
      <c r="V151" s="582">
        <f t="shared" si="22"/>
        <v>0</v>
      </c>
      <c r="W151" s="581"/>
      <c r="X151" s="579">
        <f>SUM(X150)</f>
        <v>0</v>
      </c>
      <c r="Y151" s="578"/>
      <c r="Z151" s="579">
        <f>SUM(Z150)</f>
        <v>0</v>
      </c>
      <c r="AA151" s="578"/>
      <c r="AB151" s="579">
        <f>SUM(AB150)</f>
        <v>0</v>
      </c>
      <c r="AC151" s="688"/>
      <c r="AD151" s="580">
        <f t="shared" si="23"/>
        <v>0</v>
      </c>
      <c r="AE151" s="581"/>
      <c r="AF151" s="579">
        <f>SUM(AF150)</f>
        <v>0</v>
      </c>
      <c r="AG151" s="578"/>
      <c r="AH151" s="579">
        <f>SUM(AH150)</f>
        <v>0</v>
      </c>
      <c r="AI151" s="578"/>
      <c r="AJ151" s="579">
        <f>SUM(AJ150)</f>
        <v>0</v>
      </c>
      <c r="AK151" s="688"/>
      <c r="AL151" s="582">
        <f t="shared" si="24"/>
        <v>0</v>
      </c>
      <c r="AM151" s="581"/>
      <c r="AN151" s="582">
        <f t="shared" si="26"/>
        <v>700000</v>
      </c>
      <c r="AO151" s="583"/>
      <c r="AP151" s="28"/>
      <c r="AQ151" s="28"/>
      <c r="AR151" s="28"/>
      <c r="AS151" s="28"/>
      <c r="AT151" s="28"/>
    </row>
    <row r="152" spans="1:46" s="10" customFormat="1" ht="18" customHeight="1">
      <c r="A152" s="5"/>
      <c r="B152" s="86"/>
      <c r="C152" s="98"/>
      <c r="D152" s="104" t="s">
        <v>95</v>
      </c>
      <c r="E152" s="104" t="s">
        <v>95</v>
      </c>
      <c r="F152" s="474" t="s">
        <v>576</v>
      </c>
      <c r="G152" s="133" t="s">
        <v>577</v>
      </c>
      <c r="H152" s="30">
        <f>H55</f>
        <v>560000</v>
      </c>
      <c r="I152" s="90"/>
      <c r="J152" s="31">
        <f>J55</f>
        <v>670000</v>
      </c>
      <c r="K152" s="90"/>
      <c r="L152" s="31">
        <f>L55</f>
        <v>1825000</v>
      </c>
      <c r="M152" s="661"/>
      <c r="N152" s="89">
        <f t="shared" si="25"/>
        <v>3055000</v>
      </c>
      <c r="O152" s="34"/>
      <c r="P152" s="31">
        <f>P55</f>
        <v>0</v>
      </c>
      <c r="Q152" s="90"/>
      <c r="R152" s="31">
        <f>R55</f>
        <v>0</v>
      </c>
      <c r="S152" s="90"/>
      <c r="T152" s="31">
        <f>T55</f>
        <v>0</v>
      </c>
      <c r="U152" s="661"/>
      <c r="V152" s="101">
        <f t="shared" si="22"/>
        <v>0</v>
      </c>
      <c r="W152" s="34"/>
      <c r="X152" s="31">
        <f>X55</f>
        <v>0</v>
      </c>
      <c r="Y152" s="90"/>
      <c r="Z152" s="31">
        <f>Z55</f>
        <v>0</v>
      </c>
      <c r="AA152" s="90"/>
      <c r="AB152" s="31">
        <f>AB55</f>
        <v>0</v>
      </c>
      <c r="AC152" s="661"/>
      <c r="AD152" s="89">
        <f t="shared" si="23"/>
        <v>0</v>
      </c>
      <c r="AE152" s="34"/>
      <c r="AF152" s="31">
        <f>AF55</f>
        <v>0</v>
      </c>
      <c r="AG152" s="90"/>
      <c r="AH152" s="31">
        <f>AH55</f>
        <v>0</v>
      </c>
      <c r="AI152" s="90"/>
      <c r="AJ152" s="31">
        <f>AJ55</f>
        <v>0</v>
      </c>
      <c r="AK152" s="661"/>
      <c r="AL152" s="101">
        <f t="shared" si="24"/>
        <v>0</v>
      </c>
      <c r="AM152" s="34"/>
      <c r="AN152" s="585">
        <f t="shared" si="26"/>
        <v>3055000</v>
      </c>
      <c r="AO152" s="40"/>
      <c r="AP152" s="28"/>
      <c r="AQ152" s="28"/>
      <c r="AR152" s="28"/>
      <c r="AS152" s="28"/>
      <c r="AT152" s="28"/>
    </row>
    <row r="153" spans="1:46" s="10" customFormat="1" ht="18" customHeight="1">
      <c r="A153" s="5"/>
      <c r="B153" s="86"/>
      <c r="C153" s="98"/>
      <c r="D153" s="1183" t="s">
        <v>496</v>
      </c>
      <c r="E153" s="1184"/>
      <c r="F153" s="1184"/>
      <c r="G153" s="1185"/>
      <c r="H153" s="638">
        <f>SUM(H152:H152)</f>
        <v>560000</v>
      </c>
      <c r="I153" s="639"/>
      <c r="J153" s="640">
        <f>SUM(J152:J152)</f>
        <v>670000</v>
      </c>
      <c r="K153" s="639"/>
      <c r="L153" s="640">
        <f>SUM(L152:L152)</f>
        <v>1825000</v>
      </c>
      <c r="M153" s="689"/>
      <c r="N153" s="641">
        <f t="shared" si="25"/>
        <v>3055000</v>
      </c>
      <c r="O153" s="642"/>
      <c r="P153" s="640">
        <f>SUM(P152:P152)</f>
        <v>0</v>
      </c>
      <c r="Q153" s="639"/>
      <c r="R153" s="640">
        <f>SUM(R152:R152)</f>
        <v>0</v>
      </c>
      <c r="S153" s="639"/>
      <c r="T153" s="640">
        <f>SUM(T152:T152)</f>
        <v>0</v>
      </c>
      <c r="U153" s="689"/>
      <c r="V153" s="643">
        <f t="shared" si="22"/>
        <v>0</v>
      </c>
      <c r="W153" s="642"/>
      <c r="X153" s="640">
        <f>SUM(X152:X152)</f>
        <v>0</v>
      </c>
      <c r="Y153" s="639"/>
      <c r="Z153" s="640">
        <f>SUM(Z152:Z152)</f>
        <v>0</v>
      </c>
      <c r="AA153" s="639"/>
      <c r="AB153" s="640">
        <f>SUM(AB152:AB152)</f>
        <v>0</v>
      </c>
      <c r="AC153" s="689"/>
      <c r="AD153" s="641">
        <f t="shared" si="23"/>
        <v>0</v>
      </c>
      <c r="AE153" s="642"/>
      <c r="AF153" s="640">
        <f>SUM(AF152:AF152)</f>
        <v>0</v>
      </c>
      <c r="AG153" s="639"/>
      <c r="AH153" s="640">
        <f>SUM(AH152:AH152)</f>
        <v>0</v>
      </c>
      <c r="AI153" s="639"/>
      <c r="AJ153" s="640">
        <f>SUM(AJ152:AJ152)</f>
        <v>0</v>
      </c>
      <c r="AK153" s="689"/>
      <c r="AL153" s="643">
        <f t="shared" si="24"/>
        <v>0</v>
      </c>
      <c r="AM153" s="642"/>
      <c r="AN153" s="643">
        <f t="shared" si="26"/>
        <v>3055000</v>
      </c>
      <c r="AO153" s="644"/>
      <c r="AP153" s="28"/>
      <c r="AQ153" s="28"/>
      <c r="AR153" s="28"/>
      <c r="AS153" s="28"/>
      <c r="AT153" s="28"/>
    </row>
    <row r="154" spans="1:46" s="10" customFormat="1" ht="18" customHeight="1">
      <c r="A154" s="5"/>
      <c r="B154" s="86"/>
      <c r="C154" s="98"/>
      <c r="D154" s="1174" t="s">
        <v>227</v>
      </c>
      <c r="E154" s="1174" t="s">
        <v>227</v>
      </c>
      <c r="F154" s="647" t="s">
        <v>228</v>
      </c>
      <c r="G154" s="755" t="s">
        <v>578</v>
      </c>
      <c r="H154" s="756">
        <v>13999.999999999998</v>
      </c>
      <c r="I154" s="757"/>
      <c r="J154" s="758">
        <v>198509.09090909088</v>
      </c>
      <c r="K154" s="757"/>
      <c r="L154" s="784">
        <f>128909+109000</f>
        <v>237909</v>
      </c>
      <c r="M154" s="759"/>
      <c r="N154" s="760">
        <f t="shared" si="25"/>
        <v>450418.09090909088</v>
      </c>
      <c r="O154" s="761"/>
      <c r="P154" s="758"/>
      <c r="Q154" s="757"/>
      <c r="R154" s="758"/>
      <c r="S154" s="757"/>
      <c r="T154" s="758"/>
      <c r="U154" s="759"/>
      <c r="V154" s="762">
        <f t="shared" si="22"/>
        <v>0</v>
      </c>
      <c r="W154" s="761"/>
      <c r="X154" s="758"/>
      <c r="Y154" s="757"/>
      <c r="Z154" s="758"/>
      <c r="AA154" s="757"/>
      <c r="AB154" s="758"/>
      <c r="AC154" s="759"/>
      <c r="AD154" s="760">
        <f t="shared" si="23"/>
        <v>0</v>
      </c>
      <c r="AE154" s="761"/>
      <c r="AF154" s="758"/>
      <c r="AG154" s="757"/>
      <c r="AH154" s="758"/>
      <c r="AI154" s="757"/>
      <c r="AJ154" s="758"/>
      <c r="AK154" s="759"/>
      <c r="AL154" s="762">
        <f t="shared" si="24"/>
        <v>0</v>
      </c>
      <c r="AM154" s="761"/>
      <c r="AN154" s="763">
        <f t="shared" si="26"/>
        <v>450418.09090909088</v>
      </c>
      <c r="AO154" s="764"/>
      <c r="AP154" s="146"/>
      <c r="AQ154" s="28"/>
      <c r="AR154" s="28"/>
      <c r="AS154" s="28"/>
      <c r="AT154" s="28"/>
    </row>
    <row r="155" spans="1:46" s="10" customFormat="1" ht="18" customHeight="1">
      <c r="A155" s="5"/>
      <c r="B155" s="86"/>
      <c r="C155" s="98"/>
      <c r="D155" s="1174"/>
      <c r="E155" s="1174"/>
      <c r="F155" s="647" t="s">
        <v>228</v>
      </c>
      <c r="G155" s="755" t="s">
        <v>579</v>
      </c>
      <c r="H155" s="756">
        <v>178172</v>
      </c>
      <c r="I155" s="757"/>
      <c r="J155" s="758">
        <v>120000</v>
      </c>
      <c r="K155" s="757"/>
      <c r="L155" s="758">
        <v>140000</v>
      </c>
      <c r="M155" s="759"/>
      <c r="N155" s="760">
        <f t="shared" si="25"/>
        <v>438172</v>
      </c>
      <c r="O155" s="761"/>
      <c r="P155" s="758"/>
      <c r="Q155" s="757"/>
      <c r="R155" s="758"/>
      <c r="S155" s="757"/>
      <c r="T155" s="758"/>
      <c r="U155" s="759"/>
      <c r="V155" s="762">
        <f t="shared" si="22"/>
        <v>0</v>
      </c>
      <c r="W155" s="761"/>
      <c r="X155" s="758"/>
      <c r="Y155" s="757"/>
      <c r="Z155" s="758"/>
      <c r="AA155" s="757"/>
      <c r="AB155" s="758"/>
      <c r="AC155" s="759"/>
      <c r="AD155" s="760">
        <f t="shared" si="23"/>
        <v>0</v>
      </c>
      <c r="AE155" s="761"/>
      <c r="AF155" s="758"/>
      <c r="AG155" s="757"/>
      <c r="AH155" s="758"/>
      <c r="AI155" s="757"/>
      <c r="AJ155" s="758"/>
      <c r="AK155" s="759"/>
      <c r="AL155" s="762">
        <f t="shared" si="24"/>
        <v>0</v>
      </c>
      <c r="AM155" s="761"/>
      <c r="AN155" s="763">
        <f t="shared" si="26"/>
        <v>438172</v>
      </c>
      <c r="AO155" s="764"/>
      <c r="AP155" s="146"/>
      <c r="AQ155" s="28"/>
      <c r="AR155" s="28"/>
      <c r="AS155" s="28"/>
      <c r="AT155" s="28"/>
    </row>
    <row r="156" spans="1:46" s="10" customFormat="1" ht="18" customHeight="1">
      <c r="A156" s="5"/>
      <c r="B156" s="86"/>
      <c r="C156" s="98"/>
      <c r="D156" s="1174"/>
      <c r="E156" s="1174"/>
      <c r="F156" s="647" t="s">
        <v>228</v>
      </c>
      <c r="G156" s="755" t="s">
        <v>580</v>
      </c>
      <c r="H156" s="756">
        <v>232990.90909090906</v>
      </c>
      <c r="I156" s="757"/>
      <c r="J156" s="758">
        <v>51999.999999999993</v>
      </c>
      <c r="K156" s="757"/>
      <c r="L156" s="758">
        <v>68327.272727272721</v>
      </c>
      <c r="M156" s="759"/>
      <c r="N156" s="760">
        <f t="shared" si="25"/>
        <v>353318.18181818177</v>
      </c>
      <c r="O156" s="761"/>
      <c r="P156" s="758"/>
      <c r="Q156" s="757"/>
      <c r="R156" s="758"/>
      <c r="S156" s="757"/>
      <c r="T156" s="758"/>
      <c r="U156" s="759"/>
      <c r="V156" s="762">
        <f t="shared" si="22"/>
        <v>0</v>
      </c>
      <c r="W156" s="761"/>
      <c r="X156" s="758"/>
      <c r="Y156" s="757"/>
      <c r="Z156" s="758"/>
      <c r="AA156" s="757"/>
      <c r="AB156" s="758"/>
      <c r="AC156" s="759"/>
      <c r="AD156" s="760">
        <f t="shared" si="23"/>
        <v>0</v>
      </c>
      <c r="AE156" s="761"/>
      <c r="AF156" s="758"/>
      <c r="AG156" s="757"/>
      <c r="AH156" s="758"/>
      <c r="AI156" s="757"/>
      <c r="AJ156" s="758"/>
      <c r="AK156" s="759"/>
      <c r="AL156" s="762">
        <f t="shared" si="24"/>
        <v>0</v>
      </c>
      <c r="AM156" s="761"/>
      <c r="AN156" s="763">
        <f t="shared" si="26"/>
        <v>353318.18181818177</v>
      </c>
      <c r="AO156" s="764"/>
      <c r="AP156" s="146"/>
      <c r="AQ156" s="28"/>
      <c r="AR156" s="28"/>
      <c r="AS156" s="28"/>
      <c r="AT156" s="28"/>
    </row>
    <row r="157" spans="1:46" s="10" customFormat="1" ht="18" customHeight="1">
      <c r="A157" s="5"/>
      <c r="B157" s="86"/>
      <c r="C157" s="98"/>
      <c r="D157" s="1174"/>
      <c r="E157" s="1174"/>
      <c r="F157" s="647" t="s">
        <v>228</v>
      </c>
      <c r="G157" s="755" t="s">
        <v>581</v>
      </c>
      <c r="H157" s="756">
        <v>0</v>
      </c>
      <c r="I157" s="757"/>
      <c r="J157" s="758">
        <v>0</v>
      </c>
      <c r="K157" s="757"/>
      <c r="L157" s="758">
        <v>0</v>
      </c>
      <c r="M157" s="759"/>
      <c r="N157" s="760">
        <f t="shared" si="25"/>
        <v>0</v>
      </c>
      <c r="O157" s="761"/>
      <c r="P157" s="758"/>
      <c r="Q157" s="757"/>
      <c r="R157" s="758"/>
      <c r="S157" s="757"/>
      <c r="T157" s="758"/>
      <c r="U157" s="759"/>
      <c r="V157" s="762">
        <f t="shared" si="22"/>
        <v>0</v>
      </c>
      <c r="W157" s="761"/>
      <c r="X157" s="758"/>
      <c r="Y157" s="757"/>
      <c r="Z157" s="758"/>
      <c r="AA157" s="757"/>
      <c r="AB157" s="758"/>
      <c r="AC157" s="759"/>
      <c r="AD157" s="760">
        <f t="shared" si="23"/>
        <v>0</v>
      </c>
      <c r="AE157" s="761"/>
      <c r="AF157" s="758"/>
      <c r="AG157" s="757"/>
      <c r="AH157" s="758"/>
      <c r="AI157" s="757"/>
      <c r="AJ157" s="758"/>
      <c r="AK157" s="759"/>
      <c r="AL157" s="762">
        <f t="shared" si="24"/>
        <v>0</v>
      </c>
      <c r="AM157" s="761"/>
      <c r="AN157" s="763">
        <f t="shared" si="26"/>
        <v>0</v>
      </c>
      <c r="AO157" s="764"/>
      <c r="AP157" s="146"/>
      <c r="AQ157" s="28"/>
      <c r="AR157" s="28"/>
      <c r="AS157" s="28"/>
      <c r="AT157" s="28"/>
    </row>
    <row r="158" spans="1:46" s="10" customFormat="1" ht="18" customHeight="1">
      <c r="A158" s="5"/>
      <c r="B158" s="86"/>
      <c r="C158" s="98"/>
      <c r="D158" s="1174"/>
      <c r="E158" s="1174"/>
      <c r="F158" s="647" t="s">
        <v>228</v>
      </c>
      <c r="G158" s="755" t="s">
        <v>582</v>
      </c>
      <c r="H158" s="756">
        <v>0</v>
      </c>
      <c r="I158" s="757"/>
      <c r="J158" s="758">
        <v>0</v>
      </c>
      <c r="K158" s="757"/>
      <c r="L158" s="758">
        <v>0</v>
      </c>
      <c r="M158" s="759"/>
      <c r="N158" s="760">
        <f t="shared" si="25"/>
        <v>0</v>
      </c>
      <c r="O158" s="761"/>
      <c r="P158" s="758"/>
      <c r="Q158" s="757"/>
      <c r="R158" s="758"/>
      <c r="S158" s="757"/>
      <c r="T158" s="758"/>
      <c r="U158" s="759"/>
      <c r="V158" s="762">
        <f t="shared" si="22"/>
        <v>0</v>
      </c>
      <c r="W158" s="761"/>
      <c r="X158" s="758"/>
      <c r="Y158" s="757"/>
      <c r="Z158" s="758"/>
      <c r="AA158" s="757"/>
      <c r="AB158" s="758"/>
      <c r="AC158" s="759"/>
      <c r="AD158" s="760">
        <f t="shared" si="23"/>
        <v>0</v>
      </c>
      <c r="AE158" s="761"/>
      <c r="AF158" s="758"/>
      <c r="AG158" s="757"/>
      <c r="AH158" s="758"/>
      <c r="AI158" s="757"/>
      <c r="AJ158" s="758"/>
      <c r="AK158" s="759"/>
      <c r="AL158" s="762">
        <f t="shared" si="24"/>
        <v>0</v>
      </c>
      <c r="AM158" s="761"/>
      <c r="AN158" s="763">
        <f t="shared" si="26"/>
        <v>0</v>
      </c>
      <c r="AO158" s="764"/>
      <c r="AP158" s="146"/>
      <c r="AQ158" s="28"/>
      <c r="AR158" s="28"/>
      <c r="AS158" s="28"/>
      <c r="AT158" s="28"/>
    </row>
    <row r="159" spans="1:46" s="10" customFormat="1" ht="18" customHeight="1">
      <c r="A159" s="5"/>
      <c r="B159" s="86"/>
      <c r="C159" s="98"/>
      <c r="D159" s="1174"/>
      <c r="E159" s="1174"/>
      <c r="F159" s="647" t="s">
        <v>228</v>
      </c>
      <c r="G159" s="755" t="s">
        <v>583</v>
      </c>
      <c r="H159" s="756">
        <v>0</v>
      </c>
      <c r="I159" s="757"/>
      <c r="J159" s="758">
        <v>0</v>
      </c>
      <c r="K159" s="757"/>
      <c r="L159" s="758">
        <v>0</v>
      </c>
      <c r="M159" s="759"/>
      <c r="N159" s="760">
        <f t="shared" si="25"/>
        <v>0</v>
      </c>
      <c r="O159" s="761"/>
      <c r="P159" s="758"/>
      <c r="Q159" s="757"/>
      <c r="R159" s="758"/>
      <c r="S159" s="757"/>
      <c r="T159" s="758"/>
      <c r="U159" s="759"/>
      <c r="V159" s="762">
        <f t="shared" si="22"/>
        <v>0</v>
      </c>
      <c r="W159" s="761"/>
      <c r="X159" s="758"/>
      <c r="Y159" s="757"/>
      <c r="Z159" s="758"/>
      <c r="AA159" s="757"/>
      <c r="AB159" s="758"/>
      <c r="AC159" s="759"/>
      <c r="AD159" s="760">
        <f t="shared" si="23"/>
        <v>0</v>
      </c>
      <c r="AE159" s="761"/>
      <c r="AF159" s="758"/>
      <c r="AG159" s="757"/>
      <c r="AH159" s="758"/>
      <c r="AI159" s="757"/>
      <c r="AJ159" s="758"/>
      <c r="AK159" s="759"/>
      <c r="AL159" s="762">
        <f t="shared" si="24"/>
        <v>0</v>
      </c>
      <c r="AM159" s="761"/>
      <c r="AN159" s="763">
        <f t="shared" si="26"/>
        <v>0</v>
      </c>
      <c r="AO159" s="764"/>
      <c r="AP159" s="146"/>
      <c r="AQ159" s="28"/>
      <c r="AR159" s="28"/>
      <c r="AS159" s="28"/>
      <c r="AT159" s="28"/>
    </row>
    <row r="160" spans="1:46" s="10" customFormat="1" ht="18" customHeight="1">
      <c r="A160" s="5"/>
      <c r="B160" s="86"/>
      <c r="C160" s="98"/>
      <c r="D160" s="1174"/>
      <c r="E160" s="1174"/>
      <c r="F160" s="647" t="s">
        <v>228</v>
      </c>
      <c r="G160" s="755" t="s">
        <v>584</v>
      </c>
      <c r="H160" s="756">
        <v>0</v>
      </c>
      <c r="I160" s="757"/>
      <c r="J160" s="758">
        <v>14500</v>
      </c>
      <c r="K160" s="757"/>
      <c r="L160" s="758">
        <v>0</v>
      </c>
      <c r="M160" s="759"/>
      <c r="N160" s="760">
        <f t="shared" si="25"/>
        <v>14500</v>
      </c>
      <c r="O160" s="761"/>
      <c r="P160" s="758"/>
      <c r="Q160" s="757"/>
      <c r="R160" s="758"/>
      <c r="S160" s="757"/>
      <c r="T160" s="758"/>
      <c r="U160" s="759"/>
      <c r="V160" s="762">
        <f t="shared" si="22"/>
        <v>0</v>
      </c>
      <c r="W160" s="761"/>
      <c r="X160" s="758"/>
      <c r="Y160" s="757"/>
      <c r="Z160" s="758"/>
      <c r="AA160" s="757"/>
      <c r="AB160" s="758"/>
      <c r="AC160" s="759"/>
      <c r="AD160" s="760">
        <f t="shared" si="23"/>
        <v>0</v>
      </c>
      <c r="AE160" s="761"/>
      <c r="AF160" s="758"/>
      <c r="AG160" s="757"/>
      <c r="AH160" s="758"/>
      <c r="AI160" s="757"/>
      <c r="AJ160" s="758"/>
      <c r="AK160" s="759"/>
      <c r="AL160" s="762">
        <f t="shared" si="24"/>
        <v>0</v>
      </c>
      <c r="AM160" s="761"/>
      <c r="AN160" s="763">
        <f t="shared" si="26"/>
        <v>14500</v>
      </c>
      <c r="AO160" s="764"/>
      <c r="AP160" s="146"/>
      <c r="AQ160" s="28"/>
      <c r="AR160" s="28"/>
      <c r="AS160" s="28"/>
      <c r="AT160" s="28"/>
    </row>
    <row r="161" spans="1:46" s="10" customFormat="1" ht="18" customHeight="1">
      <c r="A161" s="5"/>
      <c r="B161" s="86"/>
      <c r="C161" s="98"/>
      <c r="D161" s="1174"/>
      <c r="E161" s="1174"/>
      <c r="F161" s="647" t="s">
        <v>228</v>
      </c>
      <c r="G161" s="776" t="s">
        <v>609</v>
      </c>
      <c r="H161" s="756">
        <v>0</v>
      </c>
      <c r="I161" s="757"/>
      <c r="J161" s="758">
        <v>5500</v>
      </c>
      <c r="K161" s="757"/>
      <c r="L161" s="758">
        <v>8400</v>
      </c>
      <c r="M161" s="759"/>
      <c r="N161" s="760">
        <f t="shared" si="25"/>
        <v>13900</v>
      </c>
      <c r="O161" s="761"/>
      <c r="P161" s="758"/>
      <c r="Q161" s="757"/>
      <c r="R161" s="758"/>
      <c r="S161" s="757"/>
      <c r="T161" s="758"/>
      <c r="U161" s="759"/>
      <c r="V161" s="762">
        <f t="shared" si="22"/>
        <v>0</v>
      </c>
      <c r="W161" s="761"/>
      <c r="X161" s="758"/>
      <c r="Y161" s="757"/>
      <c r="Z161" s="758"/>
      <c r="AA161" s="757"/>
      <c r="AB161" s="758"/>
      <c r="AC161" s="759"/>
      <c r="AD161" s="760">
        <f t="shared" si="23"/>
        <v>0</v>
      </c>
      <c r="AE161" s="761"/>
      <c r="AF161" s="758"/>
      <c r="AG161" s="757"/>
      <c r="AH161" s="758"/>
      <c r="AI161" s="757"/>
      <c r="AJ161" s="758"/>
      <c r="AK161" s="759"/>
      <c r="AL161" s="762">
        <f t="shared" si="24"/>
        <v>0</v>
      </c>
      <c r="AM161" s="761"/>
      <c r="AN161" s="763">
        <f t="shared" si="26"/>
        <v>13900</v>
      </c>
      <c r="AO161" s="764"/>
      <c r="AP161" s="146"/>
      <c r="AQ161" s="28"/>
      <c r="AR161" s="28"/>
      <c r="AS161" s="28"/>
      <c r="AT161" s="28"/>
    </row>
    <row r="162" spans="1:46" s="10" customFormat="1" ht="18" customHeight="1">
      <c r="A162" s="5"/>
      <c r="B162" s="86"/>
      <c r="C162" s="98"/>
      <c r="D162" s="1174"/>
      <c r="E162" s="1174"/>
      <c r="F162" s="648" t="s">
        <v>229</v>
      </c>
      <c r="G162" s="153" t="s">
        <v>230</v>
      </c>
      <c r="H162" s="645">
        <v>0</v>
      </c>
      <c r="I162" s="90"/>
      <c r="J162" s="31">
        <v>0</v>
      </c>
      <c r="K162" s="90"/>
      <c r="L162" s="31">
        <v>0</v>
      </c>
      <c r="M162" s="661"/>
      <c r="N162" s="89">
        <f>SUM(H162,J162,L162)</f>
        <v>0</v>
      </c>
      <c r="O162" s="34"/>
      <c r="P162" s="31"/>
      <c r="Q162" s="90"/>
      <c r="R162" s="31"/>
      <c r="S162" s="90"/>
      <c r="T162" s="31"/>
      <c r="U162" s="661"/>
      <c r="V162" s="89">
        <f>SUM(P162,R162,T162)</f>
        <v>0</v>
      </c>
      <c r="W162" s="34"/>
      <c r="X162" s="31"/>
      <c r="Y162" s="90"/>
      <c r="Z162" s="31"/>
      <c r="AA162" s="90"/>
      <c r="AB162" s="31"/>
      <c r="AC162" s="661"/>
      <c r="AD162" s="89">
        <f>SUM(X162,Z162,AB162)</f>
        <v>0</v>
      </c>
      <c r="AE162" s="34"/>
      <c r="AF162" s="31"/>
      <c r="AG162" s="90"/>
      <c r="AH162" s="31"/>
      <c r="AI162" s="90"/>
      <c r="AJ162" s="31"/>
      <c r="AK162" s="661"/>
      <c r="AL162" s="101">
        <f t="shared" si="24"/>
        <v>0</v>
      </c>
      <c r="AM162" s="34"/>
      <c r="AN162" s="586">
        <f t="shared" si="26"/>
        <v>0</v>
      </c>
      <c r="AO162" s="40"/>
      <c r="AP162" s="28"/>
      <c r="AQ162" s="28"/>
      <c r="AR162" s="28"/>
      <c r="AS162" s="28"/>
    </row>
    <row r="163" spans="1:46" s="10" customFormat="1" ht="18" customHeight="1" thickBot="1">
      <c r="A163" s="5"/>
      <c r="B163" s="86"/>
      <c r="C163" s="98"/>
      <c r="D163" s="1171" t="s">
        <v>513</v>
      </c>
      <c r="E163" s="1172"/>
      <c r="F163" s="1172"/>
      <c r="G163" s="1173"/>
      <c r="H163" s="649">
        <f>SUM(H154:H161,H162)</f>
        <v>425162.90909090906</v>
      </c>
      <c r="I163" s="650"/>
      <c r="J163" s="649">
        <f>SUM(J154:J161,J162)</f>
        <v>390509.09090909088</v>
      </c>
      <c r="K163" s="650"/>
      <c r="L163" s="649">
        <f>SUM(L154:L161,L162)</f>
        <v>454636.27272727271</v>
      </c>
      <c r="M163" s="690"/>
      <c r="N163" s="651">
        <f t="shared" ref="N163:N179" si="27">SUM(H163,J163,L163)</f>
        <v>1270308.2727272727</v>
      </c>
      <c r="O163" s="652"/>
      <c r="P163" s="649">
        <f>SUM(P154:P161,P162)</f>
        <v>0</v>
      </c>
      <c r="Q163" s="650"/>
      <c r="R163" s="649">
        <f>SUM(R154:R161,R162)</f>
        <v>0</v>
      </c>
      <c r="S163" s="650"/>
      <c r="T163" s="649">
        <f>SUM(T154:T161,T162)</f>
        <v>0</v>
      </c>
      <c r="U163" s="690"/>
      <c r="V163" s="651">
        <f>SUM(P163,R163,T163)</f>
        <v>0</v>
      </c>
      <c r="W163" s="652"/>
      <c r="X163" s="649">
        <f>SUM(X154:X161,X162)</f>
        <v>0</v>
      </c>
      <c r="Y163" s="650"/>
      <c r="Z163" s="649">
        <f>SUM(Z154:Z161,Z162)</f>
        <v>0</v>
      </c>
      <c r="AA163" s="650"/>
      <c r="AB163" s="649">
        <f>SUM(AB154:AB161,AB162)</f>
        <v>0</v>
      </c>
      <c r="AC163" s="690"/>
      <c r="AD163" s="651">
        <f>SUM(X163,Z163,AB163)</f>
        <v>0</v>
      </c>
      <c r="AE163" s="652"/>
      <c r="AF163" s="649">
        <f>SUM(AF154:AF161,AF162)</f>
        <v>0</v>
      </c>
      <c r="AG163" s="650"/>
      <c r="AH163" s="649">
        <f>SUM(AH154:AH161,AH162)</f>
        <v>0</v>
      </c>
      <c r="AI163" s="650"/>
      <c r="AJ163" s="649">
        <f>SUM(AJ154:AJ161,AJ162)</f>
        <v>0</v>
      </c>
      <c r="AK163" s="690"/>
      <c r="AL163" s="653">
        <f>SUM(AF163,AH163,AJ163)</f>
        <v>0</v>
      </c>
      <c r="AM163" s="652"/>
      <c r="AN163" s="653">
        <f t="shared" si="26"/>
        <v>1270308.2727272727</v>
      </c>
      <c r="AO163" s="654"/>
      <c r="AP163" s="28"/>
      <c r="AQ163" s="28"/>
      <c r="AR163" s="28"/>
      <c r="AS163" s="28"/>
    </row>
    <row r="164" spans="1:46" s="10" customFormat="1" ht="20" customHeight="1" thickBot="1">
      <c r="B164" s="1165" t="s">
        <v>245</v>
      </c>
      <c r="C164" s="1166"/>
      <c r="D164" s="1166"/>
      <c r="E164" s="1166"/>
      <c r="F164" s="1166"/>
      <c r="G164" s="1167"/>
      <c r="H164" s="176">
        <f>SUM(H75,H77,H81,H83,H91,H99,H110,H115,H117,H134,H144,H147,H149,H151,H153,H163)</f>
        <v>44797722.909090906</v>
      </c>
      <c r="I164" s="180">
        <f t="shared" ref="I164:I165" si="28">H164/$H$27</f>
        <v>0.52809472856621142</v>
      </c>
      <c r="J164" s="176">
        <f>SUM(J75,J77,J81,J83,J91,J99,J110,J115,J117,J134,J144,J147,J149,J151,J153,J163)</f>
        <v>44423246.090909094</v>
      </c>
      <c r="K164" s="180">
        <f t="shared" ref="K164:K165" si="29">J164/$J$27</f>
        <v>0.60224600808684203</v>
      </c>
      <c r="L164" s="176">
        <f>SUM(L75,L77,L81,L83,L91,L99,L110,L115,L117,L134,L144,L147,L149,L151,L153,L163)</f>
        <v>53396243.272727273</v>
      </c>
      <c r="M164" s="180">
        <f t="shared" ref="M164:M165" si="30">L164/L$27</f>
        <v>0.52524351124658697</v>
      </c>
      <c r="N164" s="179">
        <f t="shared" si="27"/>
        <v>142617212.27272728</v>
      </c>
      <c r="O164" s="180">
        <f>N164/$N$27</f>
        <v>0.54799754261420575</v>
      </c>
      <c r="P164" s="176">
        <f>SUM(P75,P77,P81,P83,P91,P99,P110,P115,P117,P134,P144,P147,P149,P151,P153,P163)</f>
        <v>0</v>
      </c>
      <c r="Q164" s="180" t="e">
        <f>P164/$P$27</f>
        <v>#DIV/0!</v>
      </c>
      <c r="R164" s="176">
        <f>SUM(R75,R77,R81,R83,R91,R99,R110,R115,R117,R134,R144,R147,R149,R151,R153,R163)</f>
        <v>0</v>
      </c>
      <c r="S164" s="180" t="e">
        <f>R164/$R$27</f>
        <v>#DIV/0!</v>
      </c>
      <c r="T164" s="176">
        <f>SUM(T75,T77,T81,T83,T91,T99,T110,T115,T117,T134,T144,T147,T149,T151,T153,T163)</f>
        <v>0</v>
      </c>
      <c r="U164" s="181" t="e">
        <f>T164/$T$27</f>
        <v>#DIV/0!</v>
      </c>
      <c r="V164" s="182">
        <f t="shared" ref="V164:V179" si="31">SUM(P164,R164,T164)</f>
        <v>0</v>
      </c>
      <c r="W164" s="181" t="e">
        <f>V164/$V$27</f>
        <v>#DIV/0!</v>
      </c>
      <c r="X164" s="176">
        <f>SUM(X75,X77,X81,X83,X91,X99,X110,X115,X117,X134,X144,X147,X149,X151,X153,X163)</f>
        <v>0</v>
      </c>
      <c r="Y164" s="181" t="e">
        <f>X164/X$27</f>
        <v>#DIV/0!</v>
      </c>
      <c r="Z164" s="176">
        <f>SUM(Z75,Z77,Z81,Z83,Z91,Z99,Z110,Z115,Z117,Z134,Z144,Z147,Z149,Z151,Z153,Z163)</f>
        <v>0</v>
      </c>
      <c r="AA164" s="181" t="e">
        <f>Z164/Z$27</f>
        <v>#DIV/0!</v>
      </c>
      <c r="AB164" s="176">
        <f>SUM(AB75,AB77,AB81,AB83,AB91,AB99,AB110,AB115,AB117,AB134,AB144,AB147,AB149,AB151,AB153,AB163)</f>
        <v>0</v>
      </c>
      <c r="AC164" s="181" t="e">
        <f>AB164/AB$27</f>
        <v>#DIV/0!</v>
      </c>
      <c r="AD164" s="177">
        <f t="shared" ref="AD164:AD179" si="32">SUM(X164,Z164,AB164)</f>
        <v>0</v>
      </c>
      <c r="AE164" s="181" t="e">
        <f>AD164/$V$27</f>
        <v>#DIV/0!</v>
      </c>
      <c r="AF164" s="176">
        <f>SUM(AF75,AF77,AF81,AF83,AF91,AF99,AF110,AF115,AF117,AF134,AF144,AF147,AF149,AF151,AF153,AF163)</f>
        <v>0</v>
      </c>
      <c r="AG164" s="181" t="e">
        <f>AF164/AF$27</f>
        <v>#DIV/0!</v>
      </c>
      <c r="AH164" s="176">
        <f>SUM(AH75,AH77,AH81,AH83,AH91,AH99,AH110,AH115,AH117,AH134,AH144,AH147,AH149,AH151,AH153,AH163)</f>
        <v>0</v>
      </c>
      <c r="AI164" s="181" t="e">
        <f>AH164/AH$27</f>
        <v>#DIV/0!</v>
      </c>
      <c r="AJ164" s="176">
        <f>SUM(AJ75,AJ77,AJ81,AJ83,AJ91,AJ99,AJ110,AJ115,AJ117,AJ134,AJ144,AJ147,AJ149,AJ151,AJ153,AJ163)</f>
        <v>0</v>
      </c>
      <c r="AK164" s="181" t="e">
        <f>AJ164/AJ$27</f>
        <v>#DIV/0!</v>
      </c>
      <c r="AL164" s="178">
        <f>SUM(AF164,AH164,AJ164)</f>
        <v>0</v>
      </c>
      <c r="AM164" s="181" t="e">
        <f>AL164/$V$27</f>
        <v>#DIV/0!</v>
      </c>
      <c r="AN164" s="179">
        <f t="shared" si="26"/>
        <v>142617212.27272728</v>
      </c>
      <c r="AO164" s="183">
        <f>AN164/$AN$27</f>
        <v>0.54799754261420575</v>
      </c>
      <c r="AP164" s="4" t="s">
        <v>246</v>
      </c>
      <c r="AQ164" s="28"/>
      <c r="AR164" s="28"/>
      <c r="AS164" s="28"/>
    </row>
    <row r="165" spans="1:46" s="85" customFormat="1" ht="20" customHeight="1" thickTop="1" thickBot="1">
      <c r="B165" s="1168" t="s">
        <v>247</v>
      </c>
      <c r="C165" s="1169"/>
      <c r="D165" s="1170"/>
      <c r="E165" s="1048" t="s">
        <v>519</v>
      </c>
      <c r="F165" s="1048"/>
      <c r="G165" s="1049"/>
      <c r="H165" s="127">
        <f>H71-H164</f>
        <v>-12417496.960166179</v>
      </c>
      <c r="I165" s="184">
        <f t="shared" si="28"/>
        <v>-0.1463827681589584</v>
      </c>
      <c r="J165" s="127">
        <f>J71-J164</f>
        <v>-18006230.774242423</v>
      </c>
      <c r="K165" s="184">
        <f t="shared" si="29"/>
        <v>-0.24411049526381035</v>
      </c>
      <c r="L165" s="127">
        <f>L71-L164</f>
        <v>-1854005.3560606092</v>
      </c>
      <c r="M165" s="184">
        <f t="shared" si="30"/>
        <v>-1.8237318271876149E-2</v>
      </c>
      <c r="N165" s="130">
        <f t="shared" si="27"/>
        <v>-32277733.090469211</v>
      </c>
      <c r="O165" s="184">
        <f>N165/$N$27</f>
        <v>-0.12402513085804344</v>
      </c>
      <c r="P165" s="127">
        <f>P71-P164</f>
        <v>0</v>
      </c>
      <c r="Q165" s="753" t="e">
        <f>P165/$P$27</f>
        <v>#DIV/0!</v>
      </c>
      <c r="R165" s="127">
        <f>R71-R164</f>
        <v>0</v>
      </c>
      <c r="S165" s="184" t="e">
        <f>R165/$R$27</f>
        <v>#DIV/0!</v>
      </c>
      <c r="T165" s="127">
        <f>T71-T164</f>
        <v>0</v>
      </c>
      <c r="U165" s="185" t="e">
        <f>T165/$T$27</f>
        <v>#DIV/0!</v>
      </c>
      <c r="V165" s="186">
        <f t="shared" si="31"/>
        <v>0</v>
      </c>
      <c r="W165" s="184" t="e">
        <f>V165/$V$27</f>
        <v>#DIV/0!</v>
      </c>
      <c r="X165" s="127">
        <f>X71-X164</f>
        <v>0</v>
      </c>
      <c r="Y165" s="184" t="e">
        <f>X165/X$27</f>
        <v>#DIV/0!</v>
      </c>
      <c r="Z165" s="127">
        <f>Z71-Z164</f>
        <v>0</v>
      </c>
      <c r="AA165" s="184" t="e">
        <f>Z165/Z$27</f>
        <v>#DIV/0!</v>
      </c>
      <c r="AB165" s="127">
        <f>AB71-AB164</f>
        <v>0</v>
      </c>
      <c r="AC165" s="184" t="e">
        <f>AB165/AB$27</f>
        <v>#DIV/0!</v>
      </c>
      <c r="AD165" s="128">
        <f t="shared" si="32"/>
        <v>0</v>
      </c>
      <c r="AE165" s="184" t="e">
        <f>AD165/$V$27</f>
        <v>#DIV/0!</v>
      </c>
      <c r="AF165" s="127">
        <f>AF71-AF164</f>
        <v>0</v>
      </c>
      <c r="AG165" s="184" t="e">
        <f>AF165/AF$27</f>
        <v>#DIV/0!</v>
      </c>
      <c r="AH165" s="127">
        <f>AH71-AH164</f>
        <v>0</v>
      </c>
      <c r="AI165" s="184" t="e">
        <f>AH165/AH$27</f>
        <v>#DIV/0!</v>
      </c>
      <c r="AJ165" s="127">
        <f>AJ71-AJ164</f>
        <v>0</v>
      </c>
      <c r="AK165" s="184" t="e">
        <f>AJ165/AJ$27</f>
        <v>#DIV/0!</v>
      </c>
      <c r="AL165" s="129">
        <f t="shared" ref="AL165:AL179" si="33">SUM(AF165,AH165,AJ165)</f>
        <v>0</v>
      </c>
      <c r="AM165" s="184" t="e">
        <f>AL165/$V$27</f>
        <v>#DIV/0!</v>
      </c>
      <c r="AN165" s="130">
        <f t="shared" si="26"/>
        <v>-32277733.090469211</v>
      </c>
      <c r="AO165" s="188">
        <f>AN165/$AN$27</f>
        <v>-0.12402513085804344</v>
      </c>
      <c r="AP165" s="83" t="s">
        <v>248</v>
      </c>
      <c r="AQ165" s="84"/>
      <c r="AR165" s="84"/>
      <c r="AS165" s="84"/>
      <c r="AT165" s="84"/>
    </row>
    <row r="166" spans="1:46" s="10" customFormat="1" ht="18" customHeight="1" thickTop="1">
      <c r="A166" s="5"/>
      <c r="B166" s="86"/>
      <c r="C166" s="189" t="s">
        <v>249</v>
      </c>
      <c r="D166" s="151" t="s">
        <v>261</v>
      </c>
      <c r="E166" s="151" t="s">
        <v>262</v>
      </c>
      <c r="F166" s="152" t="s">
        <v>263</v>
      </c>
      <c r="G166" s="133" t="s">
        <v>264</v>
      </c>
      <c r="H166" s="190">
        <f>1751117+411747</f>
        <v>2162864</v>
      </c>
      <c r="I166" s="137"/>
      <c r="J166" s="190">
        <f>1751117+411747</f>
        <v>2162864</v>
      </c>
      <c r="K166" s="137"/>
      <c r="L166" s="190">
        <v>1953555</v>
      </c>
      <c r="M166" s="137"/>
      <c r="N166" s="89">
        <f>SUM(H166,J166,L166)</f>
        <v>6279283</v>
      </c>
      <c r="O166" s="136"/>
      <c r="P166" s="190"/>
      <c r="Q166" s="137"/>
      <c r="R166" s="190"/>
      <c r="S166" s="137"/>
      <c r="T166" s="190"/>
      <c r="U166" s="137"/>
      <c r="V166" s="89">
        <f t="shared" si="31"/>
        <v>0</v>
      </c>
      <c r="W166" s="138"/>
      <c r="X166" s="190"/>
      <c r="Y166" s="137"/>
      <c r="Z166" s="190"/>
      <c r="AA166" s="137"/>
      <c r="AB166" s="190"/>
      <c r="AC166" s="137"/>
      <c r="AD166" s="91">
        <f t="shared" si="32"/>
        <v>0</v>
      </c>
      <c r="AE166" s="138"/>
      <c r="AF166" s="190"/>
      <c r="AG166" s="137"/>
      <c r="AH166" s="190"/>
      <c r="AI166" s="137"/>
      <c r="AJ166" s="190"/>
      <c r="AK166" s="137"/>
      <c r="AL166" s="92">
        <f t="shared" si="33"/>
        <v>0</v>
      </c>
      <c r="AM166" s="138"/>
      <c r="AN166" s="585">
        <f t="shared" si="26"/>
        <v>6279283</v>
      </c>
      <c r="AO166" s="105" t="s">
        <v>265</v>
      </c>
      <c r="AP166" s="28"/>
      <c r="AQ166" s="28"/>
      <c r="AR166" s="28"/>
      <c r="AS166" s="28"/>
      <c r="AT166" s="28"/>
    </row>
    <row r="167" spans="1:46" s="10" customFormat="1" ht="18" customHeight="1" thickBot="1">
      <c r="A167" s="5"/>
      <c r="B167" s="86"/>
      <c r="C167" s="189" t="s">
        <v>249</v>
      </c>
      <c r="D167" s="161" t="s">
        <v>129</v>
      </c>
      <c r="E167" s="161" t="s">
        <v>266</v>
      </c>
      <c r="F167" s="144" t="s">
        <v>267</v>
      </c>
      <c r="G167" s="191" t="s">
        <v>268</v>
      </c>
      <c r="H167" s="96">
        <f>H189*20%</f>
        <v>22819516.400000002</v>
      </c>
      <c r="I167" s="61"/>
      <c r="J167" s="96">
        <f>J189*20%</f>
        <v>19977866</v>
      </c>
      <c r="K167" s="61"/>
      <c r="L167" s="96">
        <f>L189*20%</f>
        <v>24230990.800000001</v>
      </c>
      <c r="M167" s="61"/>
      <c r="N167" s="164">
        <f>SUM(H167,J167,L167)</f>
        <v>67028373.200000003</v>
      </c>
      <c r="O167" s="60"/>
      <c r="P167" s="96"/>
      <c r="Q167" s="61"/>
      <c r="R167" s="96"/>
      <c r="S167" s="61"/>
      <c r="T167" s="96"/>
      <c r="U167" s="61"/>
      <c r="V167" s="164">
        <f t="shared" si="31"/>
        <v>0</v>
      </c>
      <c r="W167" s="25"/>
      <c r="X167" s="96"/>
      <c r="Y167" s="61"/>
      <c r="Z167" s="96"/>
      <c r="AA167" s="61"/>
      <c r="AB167" s="96"/>
      <c r="AC167" s="61"/>
      <c r="AD167" s="91">
        <f t="shared" si="32"/>
        <v>0</v>
      </c>
      <c r="AE167" s="25"/>
      <c r="AF167" s="96"/>
      <c r="AG167" s="61"/>
      <c r="AH167" s="96"/>
      <c r="AI167" s="61"/>
      <c r="AJ167" s="96"/>
      <c r="AK167" s="61"/>
      <c r="AL167" s="92">
        <f t="shared" si="33"/>
        <v>0</v>
      </c>
      <c r="AM167" s="25"/>
      <c r="AN167" s="585">
        <f t="shared" si="26"/>
        <v>67028373.200000003</v>
      </c>
      <c r="AO167" s="66"/>
      <c r="AP167" s="71"/>
      <c r="AQ167" s="28"/>
      <c r="AR167" s="28"/>
      <c r="AS167" s="28"/>
      <c r="AT167" s="28"/>
    </row>
    <row r="168" spans="1:46" s="10" customFormat="1" ht="18" customHeight="1">
      <c r="B168" s="86"/>
      <c r="C168" s="98"/>
      <c r="D168" s="1041" t="s">
        <v>231</v>
      </c>
      <c r="E168" s="1162" t="s">
        <v>232</v>
      </c>
      <c r="F168" s="154" t="s">
        <v>233</v>
      </c>
      <c r="G168" s="132" t="s">
        <v>234</v>
      </c>
      <c r="H168" s="155">
        <v>9220426.5</v>
      </c>
      <c r="I168" s="90"/>
      <c r="J168" s="155">
        <v>9220426.5</v>
      </c>
      <c r="K168" s="90"/>
      <c r="L168" s="155">
        <v>9220426.5</v>
      </c>
      <c r="M168" s="661"/>
      <c r="N168" s="156">
        <f t="shared" ref="N168:N173" si="34">SUM(H168,J168,L168)</f>
        <v>27661279.5</v>
      </c>
      <c r="O168" s="34"/>
      <c r="P168" s="155"/>
      <c r="Q168" s="90"/>
      <c r="R168" s="155"/>
      <c r="S168" s="90"/>
      <c r="T168" s="155"/>
      <c r="U168" s="661"/>
      <c r="V168" s="156">
        <f t="shared" si="31"/>
        <v>0</v>
      </c>
      <c r="W168" s="34"/>
      <c r="X168" s="155"/>
      <c r="Y168" s="90"/>
      <c r="Z168" s="155"/>
      <c r="AA168" s="90"/>
      <c r="AB168" s="155"/>
      <c r="AC168" s="661"/>
      <c r="AD168" s="156">
        <f t="shared" si="32"/>
        <v>0</v>
      </c>
      <c r="AE168" s="34"/>
      <c r="AF168" s="155"/>
      <c r="AG168" s="90"/>
      <c r="AH168" s="155"/>
      <c r="AI168" s="90"/>
      <c r="AJ168" s="155"/>
      <c r="AK168" s="661"/>
      <c r="AL168" s="156">
        <f t="shared" si="33"/>
        <v>0</v>
      </c>
      <c r="AM168" s="34"/>
      <c r="AN168" s="587">
        <f t="shared" si="26"/>
        <v>27661279.5</v>
      </c>
      <c r="AO168" s="40" t="s">
        <v>593</v>
      </c>
      <c r="AP168" s="157"/>
      <c r="AQ168" s="28"/>
      <c r="AR168" s="28"/>
    </row>
    <row r="169" spans="1:46" s="10" customFormat="1" ht="18" customHeight="1">
      <c r="B169" s="86"/>
      <c r="C169" s="98"/>
      <c r="D169" s="1042"/>
      <c r="E169" s="1163"/>
      <c r="F169" s="158" t="s">
        <v>235</v>
      </c>
      <c r="G169" s="88" t="s">
        <v>234</v>
      </c>
      <c r="H169" s="159">
        <v>824845.16666666663</v>
      </c>
      <c r="I169" s="90"/>
      <c r="J169" s="159">
        <v>824845.16666666663</v>
      </c>
      <c r="K169" s="90"/>
      <c r="L169" s="159">
        <v>824845.16666666663</v>
      </c>
      <c r="M169" s="661"/>
      <c r="N169" s="89">
        <f t="shared" si="34"/>
        <v>2474535.5</v>
      </c>
      <c r="O169" s="34"/>
      <c r="P169" s="159"/>
      <c r="Q169" s="90"/>
      <c r="R169" s="159"/>
      <c r="S169" s="90"/>
      <c r="T169" s="159"/>
      <c r="U169" s="661"/>
      <c r="V169" s="101">
        <f t="shared" si="31"/>
        <v>0</v>
      </c>
      <c r="W169" s="34"/>
      <c r="X169" s="159"/>
      <c r="Y169" s="90"/>
      <c r="Z169" s="159"/>
      <c r="AA169" s="90"/>
      <c r="AB169" s="159"/>
      <c r="AC169" s="661"/>
      <c r="AD169" s="89">
        <f t="shared" si="32"/>
        <v>0</v>
      </c>
      <c r="AE169" s="34"/>
      <c r="AF169" s="159"/>
      <c r="AG169" s="90"/>
      <c r="AH169" s="159"/>
      <c r="AI169" s="90"/>
      <c r="AJ169" s="159"/>
      <c r="AK169" s="661"/>
      <c r="AL169" s="89">
        <f t="shared" si="33"/>
        <v>0</v>
      </c>
      <c r="AM169" s="34"/>
      <c r="AN169" s="586">
        <f t="shared" si="26"/>
        <v>2474535.5</v>
      </c>
      <c r="AO169" s="40" t="s">
        <v>593</v>
      </c>
      <c r="AP169" s="157"/>
      <c r="AQ169" s="28"/>
      <c r="AR169" s="28"/>
    </row>
    <row r="170" spans="1:46" s="10" customFormat="1" ht="18" customHeight="1">
      <c r="B170" s="86"/>
      <c r="C170" s="98"/>
      <c r="D170" s="1042"/>
      <c r="E170" s="1163"/>
      <c r="F170" s="158" t="s">
        <v>236</v>
      </c>
      <c r="G170" s="88" t="s">
        <v>234</v>
      </c>
      <c r="H170" s="159">
        <v>992713.91666666663</v>
      </c>
      <c r="I170" s="90"/>
      <c r="J170" s="159">
        <v>992713.91666666663</v>
      </c>
      <c r="K170" s="90"/>
      <c r="L170" s="159">
        <v>992713.91666666663</v>
      </c>
      <c r="M170" s="661"/>
      <c r="N170" s="89">
        <f t="shared" si="34"/>
        <v>2978141.75</v>
      </c>
      <c r="O170" s="34"/>
      <c r="P170" s="159"/>
      <c r="Q170" s="90"/>
      <c r="R170" s="159"/>
      <c r="S170" s="90"/>
      <c r="T170" s="159"/>
      <c r="U170" s="661"/>
      <c r="V170" s="101">
        <f t="shared" si="31"/>
        <v>0</v>
      </c>
      <c r="W170" s="34"/>
      <c r="X170" s="159"/>
      <c r="Y170" s="90"/>
      <c r="Z170" s="159"/>
      <c r="AA170" s="90"/>
      <c r="AB170" s="159"/>
      <c r="AC170" s="661"/>
      <c r="AD170" s="89">
        <f t="shared" si="32"/>
        <v>0</v>
      </c>
      <c r="AE170" s="34"/>
      <c r="AF170" s="159"/>
      <c r="AG170" s="90"/>
      <c r="AH170" s="159"/>
      <c r="AI170" s="90"/>
      <c r="AJ170" s="159"/>
      <c r="AK170" s="661"/>
      <c r="AL170" s="89">
        <f t="shared" si="33"/>
        <v>0</v>
      </c>
      <c r="AM170" s="34"/>
      <c r="AN170" s="586">
        <f t="shared" si="26"/>
        <v>2978141.75</v>
      </c>
      <c r="AO170" s="40" t="s">
        <v>593</v>
      </c>
      <c r="AP170" s="157"/>
      <c r="AQ170" s="28"/>
      <c r="AR170" s="28"/>
      <c r="AS170" s="28"/>
    </row>
    <row r="171" spans="1:46" s="10" customFormat="1" ht="18" customHeight="1">
      <c r="B171" s="86"/>
      <c r="C171" s="98"/>
      <c r="D171" s="1042"/>
      <c r="E171" s="1163"/>
      <c r="F171" s="158" t="s">
        <v>237</v>
      </c>
      <c r="G171" s="88" t="s">
        <v>234</v>
      </c>
      <c r="H171" s="159">
        <v>6328771</v>
      </c>
      <c r="I171" s="90"/>
      <c r="J171" s="159">
        <v>6328771</v>
      </c>
      <c r="K171" s="90"/>
      <c r="L171" s="159">
        <v>6328771</v>
      </c>
      <c r="M171" s="661"/>
      <c r="N171" s="89">
        <f t="shared" si="34"/>
        <v>18986313</v>
      </c>
      <c r="O171" s="34"/>
      <c r="P171" s="159"/>
      <c r="Q171" s="90"/>
      <c r="R171" s="159"/>
      <c r="S171" s="90"/>
      <c r="T171" s="159"/>
      <c r="U171" s="661"/>
      <c r="V171" s="101">
        <f t="shared" si="31"/>
        <v>0</v>
      </c>
      <c r="W171" s="34"/>
      <c r="X171" s="159"/>
      <c r="Y171" s="90"/>
      <c r="Z171" s="159"/>
      <c r="AA171" s="90"/>
      <c r="AB171" s="159"/>
      <c r="AC171" s="661"/>
      <c r="AD171" s="89">
        <f t="shared" si="32"/>
        <v>0</v>
      </c>
      <c r="AE171" s="34"/>
      <c r="AF171" s="159"/>
      <c r="AG171" s="90"/>
      <c r="AH171" s="159"/>
      <c r="AI171" s="90"/>
      <c r="AJ171" s="159"/>
      <c r="AK171" s="661"/>
      <c r="AL171" s="89">
        <f t="shared" si="33"/>
        <v>0</v>
      </c>
      <c r="AM171" s="34"/>
      <c r="AN171" s="586">
        <f t="shared" si="26"/>
        <v>18986313</v>
      </c>
      <c r="AO171" s="40" t="s">
        <v>593</v>
      </c>
      <c r="AP171" s="157"/>
      <c r="AQ171" s="28"/>
      <c r="AR171" s="28"/>
      <c r="AS171" s="28"/>
    </row>
    <row r="172" spans="1:46" s="10" customFormat="1" ht="18" customHeight="1">
      <c r="B172" s="86"/>
      <c r="C172" s="98"/>
      <c r="D172" s="1043"/>
      <c r="E172" s="1164"/>
      <c r="F172" s="473" t="s">
        <v>302</v>
      </c>
      <c r="G172" s="97" t="s">
        <v>304</v>
      </c>
      <c r="H172" s="472">
        <v>2884032.4166666665</v>
      </c>
      <c r="I172" s="90"/>
      <c r="J172" s="472">
        <v>2884032.4166666665</v>
      </c>
      <c r="K172" s="90"/>
      <c r="L172" s="472">
        <v>2884032.4166666665</v>
      </c>
      <c r="M172" s="661"/>
      <c r="N172" s="101">
        <f t="shared" si="34"/>
        <v>8652097.25</v>
      </c>
      <c r="O172" s="34"/>
      <c r="P172" s="472"/>
      <c r="Q172" s="90"/>
      <c r="R172" s="472"/>
      <c r="S172" s="90"/>
      <c r="T172" s="472"/>
      <c r="U172" s="661"/>
      <c r="V172" s="101">
        <f t="shared" si="31"/>
        <v>0</v>
      </c>
      <c r="W172" s="34"/>
      <c r="X172" s="472"/>
      <c r="Y172" s="90"/>
      <c r="Z172" s="472"/>
      <c r="AA172" s="90"/>
      <c r="AB172" s="472"/>
      <c r="AC172" s="661"/>
      <c r="AD172" s="101">
        <f t="shared" si="32"/>
        <v>0</v>
      </c>
      <c r="AE172" s="34"/>
      <c r="AF172" s="472"/>
      <c r="AG172" s="90"/>
      <c r="AH172" s="472"/>
      <c r="AI172" s="90"/>
      <c r="AJ172" s="472"/>
      <c r="AK172" s="661"/>
      <c r="AL172" s="101">
        <f t="shared" si="33"/>
        <v>0</v>
      </c>
      <c r="AM172" s="34"/>
      <c r="AN172" s="585">
        <f t="shared" si="26"/>
        <v>8652097.25</v>
      </c>
      <c r="AO172" s="40" t="s">
        <v>593</v>
      </c>
      <c r="AP172" s="157"/>
      <c r="AQ172" s="28"/>
      <c r="AR172" s="28"/>
      <c r="AS172" s="28"/>
    </row>
    <row r="173" spans="1:46" s="10" customFormat="1" ht="18" customHeight="1">
      <c r="B173" s="86"/>
      <c r="C173" s="98"/>
      <c r="D173" s="1080" t="s">
        <v>238</v>
      </c>
      <c r="E173" s="1074" t="s">
        <v>232</v>
      </c>
      <c r="F173" s="432" t="s">
        <v>239</v>
      </c>
      <c r="G173" s="100" t="s">
        <v>240</v>
      </c>
      <c r="H173" s="160">
        <v>366666.66666666669</v>
      </c>
      <c r="I173" s="90"/>
      <c r="J173" s="160">
        <v>366666.66666666669</v>
      </c>
      <c r="K173" s="90"/>
      <c r="L173" s="160">
        <v>366666.66666666669</v>
      </c>
      <c r="M173" s="661"/>
      <c r="N173" s="101">
        <f t="shared" si="34"/>
        <v>1100000</v>
      </c>
      <c r="O173" s="34"/>
      <c r="P173" s="160"/>
      <c r="Q173" s="90"/>
      <c r="R173" s="160"/>
      <c r="S173" s="90"/>
      <c r="T173" s="160"/>
      <c r="U173" s="661"/>
      <c r="V173" s="101">
        <f t="shared" si="31"/>
        <v>0</v>
      </c>
      <c r="W173" s="34"/>
      <c r="X173" s="160"/>
      <c r="Y173" s="90"/>
      <c r="Z173" s="160"/>
      <c r="AA173" s="90"/>
      <c r="AB173" s="160"/>
      <c r="AC173" s="661"/>
      <c r="AD173" s="101">
        <f t="shared" si="32"/>
        <v>0</v>
      </c>
      <c r="AE173" s="34"/>
      <c r="AF173" s="160"/>
      <c r="AG173" s="90"/>
      <c r="AH173" s="160"/>
      <c r="AI173" s="90"/>
      <c r="AJ173" s="160"/>
      <c r="AK173" s="661"/>
      <c r="AL173" s="101">
        <f t="shared" si="33"/>
        <v>0</v>
      </c>
      <c r="AM173" s="34"/>
      <c r="AN173" s="585">
        <f t="shared" si="26"/>
        <v>1100000</v>
      </c>
      <c r="AO173" s="40" t="s">
        <v>593</v>
      </c>
      <c r="AP173" s="157"/>
      <c r="AQ173" s="28"/>
      <c r="AR173" s="28"/>
      <c r="AS173" s="28"/>
    </row>
    <row r="174" spans="1:46" s="10" customFormat="1" ht="18" customHeight="1">
      <c r="B174" s="86"/>
      <c r="C174" s="98"/>
      <c r="D174" s="1081"/>
      <c r="E174" s="1075"/>
      <c r="F174" s="161" t="s">
        <v>241</v>
      </c>
      <c r="G174" s="88" t="s">
        <v>242</v>
      </c>
      <c r="H174" s="162">
        <v>4405.583333333333</v>
      </c>
      <c r="I174" s="82"/>
      <c r="J174" s="162">
        <v>4405.583333333333</v>
      </c>
      <c r="K174" s="82"/>
      <c r="L174" s="162">
        <v>4405.583333333333</v>
      </c>
      <c r="M174" s="691"/>
      <c r="N174" s="89">
        <f>SUM(H174,J174,L174)</f>
        <v>13216.75</v>
      </c>
      <c r="O174" s="81"/>
      <c r="P174" s="162"/>
      <c r="Q174" s="82"/>
      <c r="R174" s="162"/>
      <c r="S174" s="82"/>
      <c r="T174" s="162"/>
      <c r="U174" s="691"/>
      <c r="V174" s="101">
        <f t="shared" si="31"/>
        <v>0</v>
      </c>
      <c r="W174" s="81"/>
      <c r="X174" s="162"/>
      <c r="Y174" s="82"/>
      <c r="Z174" s="162"/>
      <c r="AA174" s="82"/>
      <c r="AB174" s="162"/>
      <c r="AC174" s="691"/>
      <c r="AD174" s="89">
        <f t="shared" si="32"/>
        <v>0</v>
      </c>
      <c r="AE174" s="81"/>
      <c r="AF174" s="162"/>
      <c r="AG174" s="82"/>
      <c r="AH174" s="162"/>
      <c r="AI174" s="82"/>
      <c r="AJ174" s="162"/>
      <c r="AK174" s="691"/>
      <c r="AL174" s="101">
        <f t="shared" si="33"/>
        <v>0</v>
      </c>
      <c r="AM174" s="81"/>
      <c r="AN174" s="585">
        <f t="shared" si="26"/>
        <v>13216.75</v>
      </c>
      <c r="AO174" s="40" t="s">
        <v>593</v>
      </c>
      <c r="AP174" s="157"/>
      <c r="AQ174" s="28"/>
      <c r="AR174" s="28"/>
      <c r="AS174" s="28"/>
    </row>
    <row r="175" spans="1:46" s="10" customFormat="1" ht="18" customHeight="1" thickBot="1">
      <c r="B175" s="433"/>
      <c r="C175" s="98"/>
      <c r="D175" s="1082"/>
      <c r="E175" s="1076"/>
      <c r="F175" s="646" t="s">
        <v>243</v>
      </c>
      <c r="G175" s="490" t="s">
        <v>242</v>
      </c>
      <c r="H175" s="163">
        <v>83333.25</v>
      </c>
      <c r="I175" s="82"/>
      <c r="J175" s="163">
        <v>83333.25</v>
      </c>
      <c r="K175" s="82"/>
      <c r="L175" s="163">
        <v>83333.25</v>
      </c>
      <c r="M175" s="691"/>
      <c r="N175" s="164">
        <f>SUM(H175,J175,L175)</f>
        <v>249999.75</v>
      </c>
      <c r="O175" s="81"/>
      <c r="P175" s="163"/>
      <c r="Q175" s="82"/>
      <c r="R175" s="163"/>
      <c r="S175" s="82"/>
      <c r="T175" s="163"/>
      <c r="U175" s="691"/>
      <c r="V175" s="697">
        <f t="shared" si="31"/>
        <v>0</v>
      </c>
      <c r="W175" s="81"/>
      <c r="X175" s="163"/>
      <c r="Y175" s="82"/>
      <c r="Z175" s="163"/>
      <c r="AA175" s="82"/>
      <c r="AB175" s="163"/>
      <c r="AC175" s="691"/>
      <c r="AD175" s="164">
        <f t="shared" si="32"/>
        <v>0</v>
      </c>
      <c r="AE175" s="81"/>
      <c r="AF175" s="163"/>
      <c r="AG175" s="82"/>
      <c r="AH175" s="163"/>
      <c r="AI175" s="82"/>
      <c r="AJ175" s="163"/>
      <c r="AK175" s="691"/>
      <c r="AL175" s="697">
        <f t="shared" si="33"/>
        <v>0</v>
      </c>
      <c r="AM175" s="81"/>
      <c r="AN175" s="588">
        <f t="shared" si="26"/>
        <v>249999.75</v>
      </c>
      <c r="AO175" s="40" t="s">
        <v>593</v>
      </c>
      <c r="AP175" s="157"/>
      <c r="AR175" s="28"/>
      <c r="AS175" s="28"/>
    </row>
    <row r="176" spans="1:46" s="10" customFormat="1" ht="18" customHeight="1" thickBot="1">
      <c r="B176" s="1077" t="s">
        <v>244</v>
      </c>
      <c r="C176" s="1078"/>
      <c r="D176" s="1078"/>
      <c r="E176" s="1078"/>
      <c r="F176" s="1078"/>
      <c r="G176" s="1079"/>
      <c r="H176" s="165">
        <f>SUM(H168:H175)</f>
        <v>20705194.5</v>
      </c>
      <c r="I176" s="168">
        <f t="shared" ref="I176:I179" si="35">H176/H$27</f>
        <v>0.24408169342842179</v>
      </c>
      <c r="J176" s="165">
        <f>SUM(J168:J175)</f>
        <v>20705194.5</v>
      </c>
      <c r="K176" s="168">
        <f>J176/J$27</f>
        <v>0.28070035018981782</v>
      </c>
      <c r="L176" s="166">
        <f>SUM(L168:L175)</f>
        <v>20705194.5</v>
      </c>
      <c r="M176" s="168">
        <f>L176/L$27</f>
        <v>0.20367105237491839</v>
      </c>
      <c r="N176" s="167">
        <f>SUM(H176,J176,L176)</f>
        <v>62115583.5</v>
      </c>
      <c r="O176" s="168">
        <f>N176/N$27</f>
        <v>0.23867516812034073</v>
      </c>
      <c r="P176" s="754">
        <f>SUM(P168:P175)</f>
        <v>0</v>
      </c>
      <c r="Q176" s="168" t="e">
        <f>P176/$P$27</f>
        <v>#DIV/0!</v>
      </c>
      <c r="R176" s="754">
        <f>SUM(R168:R175)</f>
        <v>0</v>
      </c>
      <c r="S176" s="168" t="e">
        <f>R176/$R$27</f>
        <v>#DIV/0!</v>
      </c>
      <c r="T176" s="754">
        <f>SUM(T168:T175)</f>
        <v>0</v>
      </c>
      <c r="U176" s="169" t="e">
        <f>T176/$T$27</f>
        <v>#DIV/0!</v>
      </c>
      <c r="V176" s="170">
        <f t="shared" si="31"/>
        <v>0</v>
      </c>
      <c r="W176" s="171" t="e">
        <f>V176/$V$27</f>
        <v>#DIV/0!</v>
      </c>
      <c r="X176" s="754">
        <f>SUM(X168:X175)</f>
        <v>0</v>
      </c>
      <c r="Y176" s="171" t="e">
        <f>X176/X$27</f>
        <v>#DIV/0!</v>
      </c>
      <c r="Z176" s="754">
        <f>SUM(Z168:Z175)</f>
        <v>0</v>
      </c>
      <c r="AA176" s="171" t="e">
        <f>Z176/Z$27</f>
        <v>#DIV/0!</v>
      </c>
      <c r="AB176" s="754">
        <f>SUM(AB168:AB175)</f>
        <v>0</v>
      </c>
      <c r="AC176" s="171" t="e">
        <f>AB176/AB$27</f>
        <v>#DIV/0!</v>
      </c>
      <c r="AD176" s="172">
        <f t="shared" si="32"/>
        <v>0</v>
      </c>
      <c r="AE176" s="171" t="e">
        <f>AD176/$V$27</f>
        <v>#DIV/0!</v>
      </c>
      <c r="AF176" s="754">
        <f>SUM(AF168:AF175)</f>
        <v>0</v>
      </c>
      <c r="AG176" s="171" t="e">
        <f>AF176/AF$27</f>
        <v>#DIV/0!</v>
      </c>
      <c r="AH176" s="754">
        <f>SUM(AH168:AH175)</f>
        <v>0</v>
      </c>
      <c r="AI176" s="171" t="e">
        <f>AH176/AH$27</f>
        <v>#DIV/0!</v>
      </c>
      <c r="AJ176" s="754">
        <f>SUM(AJ168:AJ175)</f>
        <v>0</v>
      </c>
      <c r="AK176" s="171" t="e">
        <f>AJ176/AJ$27</f>
        <v>#DIV/0!</v>
      </c>
      <c r="AL176" s="173">
        <f t="shared" si="33"/>
        <v>0</v>
      </c>
      <c r="AM176" s="171" t="e">
        <f>AL176/$V$27</f>
        <v>#DIV/0!</v>
      </c>
      <c r="AN176" s="167">
        <f t="shared" si="26"/>
        <v>62115583.5</v>
      </c>
      <c r="AO176" s="174">
        <f t="shared" ref="AO176:AO179" si="36">AN176/AN$27</f>
        <v>0.23867516812034073</v>
      </c>
      <c r="AP176" s="175"/>
      <c r="AR176" s="28"/>
      <c r="AS176" s="28"/>
    </row>
    <row r="177" spans="2:46" s="10" customFormat="1" ht="20" customHeight="1" thickBot="1">
      <c r="B177" s="1068" t="s">
        <v>269</v>
      </c>
      <c r="C177" s="1069"/>
      <c r="D177" s="1069"/>
      <c r="E177" s="1069"/>
      <c r="F177" s="1069"/>
      <c r="G177" s="1070"/>
      <c r="H177" s="192">
        <f>SUM(H166:H167,H176)</f>
        <v>45687574.900000006</v>
      </c>
      <c r="I177" s="181">
        <f t="shared" si="35"/>
        <v>0.53858468464181097</v>
      </c>
      <c r="J177" s="192">
        <f>SUM(J166:J167,J176)</f>
        <v>42845924.5</v>
      </c>
      <c r="K177" s="181">
        <f t="shared" ref="K177:K179" si="37">J177/J$27</f>
        <v>0.5808622571189318</v>
      </c>
      <c r="L177" s="192">
        <f>SUM(L166:L167,L176)</f>
        <v>46889740.299999997</v>
      </c>
      <c r="M177" s="181">
        <f t="shared" ref="M177:M179" si="38">L177/L$27</f>
        <v>0.46124090997974548</v>
      </c>
      <c r="N177" s="195">
        <f t="shared" si="27"/>
        <v>135423239.69999999</v>
      </c>
      <c r="O177" s="180">
        <f>N177/N$27</f>
        <v>0.52035516180571173</v>
      </c>
      <c r="P177" s="192">
        <f>SUM(P166:P167,P176)</f>
        <v>0</v>
      </c>
      <c r="Q177" s="181" t="e">
        <f>P177/P$27</f>
        <v>#DIV/0!</v>
      </c>
      <c r="R177" s="192">
        <f>SUM(R166:R167,R176)</f>
        <v>0</v>
      </c>
      <c r="S177" s="181" t="e">
        <f>R177/R$27</f>
        <v>#DIV/0!</v>
      </c>
      <c r="T177" s="192">
        <f>SUM(T166:T167,T176)</f>
        <v>0</v>
      </c>
      <c r="U177" s="181" t="e">
        <f>T177/T$27</f>
        <v>#DIV/0!</v>
      </c>
      <c r="V177" s="195">
        <f t="shared" si="31"/>
        <v>0</v>
      </c>
      <c r="W177" s="181" t="e">
        <f>V177/$V$27</f>
        <v>#DIV/0!</v>
      </c>
      <c r="X177" s="192">
        <f>SUM(X166:X167,X176)</f>
        <v>0</v>
      </c>
      <c r="Y177" s="181" t="e">
        <f>X177/X$27</f>
        <v>#DIV/0!</v>
      </c>
      <c r="Z177" s="192">
        <f>SUM(Z166:Z167,Z176)</f>
        <v>0</v>
      </c>
      <c r="AA177" s="181" t="e">
        <f>Z177/Z$27</f>
        <v>#DIV/0!</v>
      </c>
      <c r="AB177" s="192">
        <f>SUM(AB166:AB167,AB176)</f>
        <v>0</v>
      </c>
      <c r="AC177" s="181" t="e">
        <f>AB177/AB$27</f>
        <v>#DIV/0!</v>
      </c>
      <c r="AD177" s="193">
        <f t="shared" si="32"/>
        <v>0</v>
      </c>
      <c r="AE177" s="181" t="e">
        <f>AD177/$V$27</f>
        <v>#DIV/0!</v>
      </c>
      <c r="AF177" s="192">
        <f>SUM(AF166:AF167,AF176)</f>
        <v>0</v>
      </c>
      <c r="AG177" s="181" t="e">
        <f>AF177/AF$27</f>
        <v>#DIV/0!</v>
      </c>
      <c r="AH177" s="192">
        <f>SUM(AH166:AH167,AH176)</f>
        <v>0</v>
      </c>
      <c r="AI177" s="181" t="e">
        <f>AH177/AH$27</f>
        <v>#DIV/0!</v>
      </c>
      <c r="AJ177" s="192">
        <f>SUM(AJ166:AJ167,AJ176)</f>
        <v>0</v>
      </c>
      <c r="AK177" s="181" t="e">
        <f>AJ177/AJ$27</f>
        <v>#DIV/0!</v>
      </c>
      <c r="AL177" s="194">
        <f t="shared" si="33"/>
        <v>0</v>
      </c>
      <c r="AM177" s="181" t="e">
        <f>AL177/$V$27</f>
        <v>#DIV/0!</v>
      </c>
      <c r="AN177" s="195">
        <f t="shared" si="26"/>
        <v>135423239.69999999</v>
      </c>
      <c r="AO177" s="183">
        <f t="shared" si="36"/>
        <v>0.52035516180571173</v>
      </c>
      <c r="AP177" s="4" t="s">
        <v>270</v>
      </c>
      <c r="AQ177" s="28"/>
      <c r="AR177" s="28"/>
      <c r="AS177" s="28"/>
    </row>
    <row r="178" spans="2:46" s="85" customFormat="1" ht="20" customHeight="1" thickBot="1">
      <c r="B178" s="1071" t="s">
        <v>271</v>
      </c>
      <c r="C178" s="1072"/>
      <c r="D178" s="1072"/>
      <c r="E178" s="1072"/>
      <c r="F178" s="1072"/>
      <c r="G178" s="1073"/>
      <c r="H178" s="196">
        <f>SUM(H70+H164+H177)</f>
        <v>142934024.86016619</v>
      </c>
      <c r="I178" s="201">
        <f t="shared" si="35"/>
        <v>1.6849674528007694</v>
      </c>
      <c r="J178" s="196">
        <f>SUM(J70+J164+J177)</f>
        <v>134614779.67424244</v>
      </c>
      <c r="K178" s="201">
        <f t="shared" si="37"/>
        <v>1.8249727523827424</v>
      </c>
      <c r="L178" s="196">
        <f>SUM(L70+L164+L177)</f>
        <v>150403722.65606061</v>
      </c>
      <c r="M178" s="201">
        <f t="shared" si="38"/>
        <v>1.4794782282516217</v>
      </c>
      <c r="N178" s="199">
        <f t="shared" si="27"/>
        <v>427952527.19046926</v>
      </c>
      <c r="O178" s="200">
        <f>N178/N$27</f>
        <v>1.6443802926637554</v>
      </c>
      <c r="P178" s="196">
        <f>SUM(P70+P164+P177)</f>
        <v>0</v>
      </c>
      <c r="Q178" s="201" t="e">
        <f>P178/P$27</f>
        <v>#DIV/0!</v>
      </c>
      <c r="R178" s="196">
        <f>SUM(R70+R164+R177)</f>
        <v>0</v>
      </c>
      <c r="S178" s="201" t="e">
        <f>R178/R$27</f>
        <v>#DIV/0!</v>
      </c>
      <c r="T178" s="196">
        <f>SUM(T70+T164+T177)</f>
        <v>0</v>
      </c>
      <c r="U178" s="201" t="e">
        <f>T178/T$27</f>
        <v>#DIV/0!</v>
      </c>
      <c r="V178" s="199">
        <f t="shared" si="31"/>
        <v>0</v>
      </c>
      <c r="W178" s="201" t="e">
        <f>V178/$V$27</f>
        <v>#DIV/0!</v>
      </c>
      <c r="X178" s="196">
        <f>SUM(X70+X164+X177)</f>
        <v>0</v>
      </c>
      <c r="Y178" s="201" t="e">
        <f>X178/X$27</f>
        <v>#DIV/0!</v>
      </c>
      <c r="Z178" s="196">
        <f>SUM(Z70+Z164+Z177)</f>
        <v>0</v>
      </c>
      <c r="AA178" s="201" t="e">
        <f>Z178/Z$27</f>
        <v>#DIV/0!</v>
      </c>
      <c r="AB178" s="196">
        <f>SUM(AB70+AB164+AB177)</f>
        <v>0</v>
      </c>
      <c r="AC178" s="201" t="e">
        <f>AB178/AB$27</f>
        <v>#DIV/0!</v>
      </c>
      <c r="AD178" s="197">
        <f t="shared" si="32"/>
        <v>0</v>
      </c>
      <c r="AE178" s="201" t="e">
        <f>AD178/$V$27</f>
        <v>#DIV/0!</v>
      </c>
      <c r="AF178" s="196">
        <f>SUM(AF70+AF164+AF177)</f>
        <v>0</v>
      </c>
      <c r="AG178" s="201" t="e">
        <f>AF178/AF$27</f>
        <v>#DIV/0!</v>
      </c>
      <c r="AH178" s="196">
        <f>SUM(AH70+AH164+AH177)</f>
        <v>0</v>
      </c>
      <c r="AI178" s="201" t="e">
        <f>AH178/AH$27</f>
        <v>#DIV/0!</v>
      </c>
      <c r="AJ178" s="196">
        <f>SUM(AJ70+AJ164+AJ177)</f>
        <v>0</v>
      </c>
      <c r="AK178" s="201" t="e">
        <f>AJ178/AJ$27</f>
        <v>#DIV/0!</v>
      </c>
      <c r="AL178" s="198">
        <f t="shared" si="33"/>
        <v>0</v>
      </c>
      <c r="AM178" s="201" t="e">
        <f>AL178/$V$27</f>
        <v>#DIV/0!</v>
      </c>
      <c r="AN178" s="199">
        <f t="shared" si="26"/>
        <v>427952527.19046926</v>
      </c>
      <c r="AO178" s="202">
        <f t="shared" si="36"/>
        <v>1.6443802926637554</v>
      </c>
      <c r="AP178" s="4" t="s">
        <v>272</v>
      </c>
      <c r="AQ178" s="84"/>
      <c r="AR178" s="203"/>
      <c r="AS178" s="84"/>
      <c r="AT178" s="84"/>
    </row>
    <row r="179" spans="2:46" s="85" customFormat="1" ht="19.75" customHeight="1" thickTop="1" thickBot="1">
      <c r="B179" s="1060" t="s">
        <v>273</v>
      </c>
      <c r="C179" s="1061"/>
      <c r="D179" s="1062"/>
      <c r="E179" s="1063" t="s">
        <v>592</v>
      </c>
      <c r="F179" s="1063"/>
      <c r="G179" s="1064"/>
      <c r="H179" s="204">
        <f>H27-(H70+H164+H177)</f>
        <v>-58105071.860166192</v>
      </c>
      <c r="I179" s="208">
        <f t="shared" si="35"/>
        <v>-0.68496745280076943</v>
      </c>
      <c r="J179" s="204">
        <f>J27-(J70+J164+J177)</f>
        <v>-60852155.274242431</v>
      </c>
      <c r="K179" s="208">
        <f t="shared" si="37"/>
        <v>-0.82497275238274226</v>
      </c>
      <c r="L179" s="205">
        <f>L27-(L70+L164+L177)</f>
        <v>-48743745.656060606</v>
      </c>
      <c r="M179" s="208">
        <f t="shared" si="38"/>
        <v>-0.47947822825162162</v>
      </c>
      <c r="N179" s="206">
        <f t="shared" si="27"/>
        <v>-167700972.79046923</v>
      </c>
      <c r="O179" s="207">
        <f>N179/N$27</f>
        <v>-0.64438029266375529</v>
      </c>
      <c r="P179" s="205">
        <f>P27-(P70+P164+P177)</f>
        <v>0</v>
      </c>
      <c r="Q179" s="208" t="e">
        <f>P179/P$27</f>
        <v>#DIV/0!</v>
      </c>
      <c r="R179" s="205">
        <f>R27-(R70+R164+R177)</f>
        <v>0</v>
      </c>
      <c r="S179" s="208" t="e">
        <f>R179/R$27</f>
        <v>#DIV/0!</v>
      </c>
      <c r="T179" s="205">
        <f>T27-(T70+T164+T177)</f>
        <v>0</v>
      </c>
      <c r="U179" s="208" t="e">
        <f>T179/T$27</f>
        <v>#DIV/0!</v>
      </c>
      <c r="V179" s="206">
        <f t="shared" si="31"/>
        <v>0</v>
      </c>
      <c r="W179" s="208" t="e">
        <f>V179/$V$27</f>
        <v>#DIV/0!</v>
      </c>
      <c r="X179" s="205">
        <f>X27-(X70+X164+X177)</f>
        <v>0</v>
      </c>
      <c r="Y179" s="208" t="e">
        <f>X179/X$27</f>
        <v>#DIV/0!</v>
      </c>
      <c r="Z179" s="205">
        <f>Z27-(Z70+Z164+Z177)</f>
        <v>0</v>
      </c>
      <c r="AA179" s="208" t="e">
        <f>Z179/Z$27</f>
        <v>#DIV/0!</v>
      </c>
      <c r="AB179" s="205">
        <f>AB27-(AB70+AB164+AB177)</f>
        <v>0</v>
      </c>
      <c r="AC179" s="208" t="e">
        <f>AB179/AB$27</f>
        <v>#DIV/0!</v>
      </c>
      <c r="AD179" s="187">
        <f t="shared" si="32"/>
        <v>0</v>
      </c>
      <c r="AE179" s="208" t="e">
        <f>AD179/$V$27</f>
        <v>#DIV/0!</v>
      </c>
      <c r="AF179" s="205">
        <f>AF27-(AF70+AF164+AF177)</f>
        <v>0</v>
      </c>
      <c r="AG179" s="208" t="e">
        <f>AF179/AF$27</f>
        <v>#DIV/0!</v>
      </c>
      <c r="AH179" s="205">
        <f>AH27-(AH70+AH164+AH177)</f>
        <v>0</v>
      </c>
      <c r="AI179" s="208" t="e">
        <f>AH179/AH$27</f>
        <v>#DIV/0!</v>
      </c>
      <c r="AJ179" s="205">
        <f>AJ27-(AJ70+AJ164+AJ177)</f>
        <v>0</v>
      </c>
      <c r="AK179" s="208" t="e">
        <f>AJ179/AJ$27</f>
        <v>#DIV/0!</v>
      </c>
      <c r="AL179" s="205">
        <f t="shared" si="33"/>
        <v>0</v>
      </c>
      <c r="AM179" s="208" t="e">
        <f>AL179/$V$27</f>
        <v>#DIV/0!</v>
      </c>
      <c r="AN179" s="209">
        <f t="shared" si="26"/>
        <v>-167700972.79046923</v>
      </c>
      <c r="AO179" s="188">
        <f t="shared" si="36"/>
        <v>-0.64438029266375529</v>
      </c>
      <c r="AP179" s="83" t="s">
        <v>274</v>
      </c>
      <c r="AQ179" s="84"/>
      <c r="AR179" s="210"/>
      <c r="AS179" s="84"/>
      <c r="AT179" s="84"/>
    </row>
    <row r="180" spans="2:46" ht="18" hidden="1" thickTop="1">
      <c r="G180" s="213" t="s">
        <v>275</v>
      </c>
      <c r="H180" s="214">
        <f>H189-H181</f>
        <v>114097582</v>
      </c>
      <c r="I180" s="214"/>
      <c r="J180" s="214">
        <f>J189-J181</f>
        <v>99889330</v>
      </c>
      <c r="K180" s="214"/>
      <c r="L180" s="214">
        <f>L189-L181</f>
        <v>17640971.643939406</v>
      </c>
      <c r="M180" s="214"/>
      <c r="N180" s="214"/>
      <c r="O180" s="215"/>
      <c r="P180" s="214">
        <f>P189-P181</f>
        <v>0</v>
      </c>
      <c r="Q180" s="214"/>
      <c r="R180" s="214">
        <f>R189-R181</f>
        <v>0</v>
      </c>
      <c r="S180" s="214"/>
      <c r="T180" s="214">
        <f>T189-T181</f>
        <v>0</v>
      </c>
      <c r="U180" s="214"/>
      <c r="V180" s="214"/>
      <c r="W180" s="214"/>
      <c r="X180" s="214">
        <f>X189-X181</f>
        <v>0</v>
      </c>
      <c r="Y180" s="214"/>
      <c r="Z180" s="214">
        <f>Z189-Z181</f>
        <v>0</v>
      </c>
      <c r="AA180" s="214"/>
      <c r="AB180" s="214">
        <f>AB189-AB181</f>
        <v>0</v>
      </c>
      <c r="AC180" s="214"/>
      <c r="AF180" s="214">
        <f>AF189-AF181</f>
        <v>0</v>
      </c>
      <c r="AG180" s="214"/>
      <c r="AH180" s="214">
        <f>AH189-AH181</f>
        <v>0</v>
      </c>
      <c r="AJ180" s="214">
        <f>AJ189-AJ181</f>
        <v>0</v>
      </c>
      <c r="AL180" s="211"/>
      <c r="AM180" s="215"/>
      <c r="AN180" s="214"/>
      <c r="AO180" s="216"/>
      <c r="AP180" s="215"/>
      <c r="AQ180" s="217"/>
    </row>
    <row r="181" spans="2:46" ht="18" hidden="1" thickTop="1">
      <c r="G181" s="213" t="s">
        <v>276</v>
      </c>
      <c r="H181" s="218"/>
      <c r="I181" s="219"/>
      <c r="J181" s="218">
        <f>SUM(J182:J184)</f>
        <v>0</v>
      </c>
      <c r="K181" s="219"/>
      <c r="L181" s="218">
        <f>SUM(L182:L184)</f>
        <v>103513982.35606059</v>
      </c>
      <c r="M181" s="219"/>
      <c r="N181" s="218"/>
      <c r="O181" s="215"/>
      <c r="P181" s="218">
        <f>SUM(P182:P184)</f>
        <v>0</v>
      </c>
      <c r="Q181" s="219"/>
      <c r="R181" s="218">
        <f>SUM(R182:R184)</f>
        <v>0</v>
      </c>
      <c r="S181" s="219"/>
      <c r="T181" s="218">
        <f>SUM(T182:T184)</f>
        <v>0</v>
      </c>
      <c r="U181" s="219"/>
      <c r="V181" s="219"/>
      <c r="W181" s="219"/>
      <c r="X181" s="218">
        <f>SUM(X182:X184)</f>
        <v>0</v>
      </c>
      <c r="Y181" s="219"/>
      <c r="Z181" s="218">
        <f>SUM(Z182:Z184)</f>
        <v>0</v>
      </c>
      <c r="AA181" s="219"/>
      <c r="AB181" s="218">
        <f>SUM(AB182:AB184)</f>
        <v>0</v>
      </c>
      <c r="AC181" s="219"/>
      <c r="AF181" s="218">
        <f>SUM(AF182:AF184)</f>
        <v>0</v>
      </c>
      <c r="AG181" s="219"/>
      <c r="AH181" s="218">
        <f>SUM(AH182:AH184)</f>
        <v>0</v>
      </c>
      <c r="AJ181" s="218">
        <f>SUM(AJ182:AJ184)</f>
        <v>0</v>
      </c>
      <c r="AL181" s="211"/>
      <c r="AM181" s="215"/>
      <c r="AN181" s="219"/>
      <c r="AO181" s="216"/>
      <c r="AP181" s="215"/>
      <c r="AQ181" s="217"/>
    </row>
    <row r="182" spans="2:46" ht="18" hidden="1" thickTop="1">
      <c r="G182" s="220"/>
      <c r="H182" s="27"/>
      <c r="I182" s="221"/>
      <c r="J182" s="27"/>
      <c r="K182" s="221"/>
      <c r="L182" s="27">
        <f>L70</f>
        <v>50117739.083333336</v>
      </c>
      <c r="M182" s="221"/>
      <c r="N182" s="27"/>
      <c r="O182" s="215"/>
      <c r="P182" s="27">
        <f>P70</f>
        <v>0</v>
      </c>
      <c r="Q182" s="221"/>
      <c r="R182" s="27">
        <f>R70</f>
        <v>0</v>
      </c>
      <c r="S182" s="221"/>
      <c r="T182" s="27">
        <f>T70</f>
        <v>0</v>
      </c>
      <c r="U182" s="221"/>
      <c r="V182" s="221"/>
      <c r="W182" s="221"/>
      <c r="X182" s="27">
        <f>X70</f>
        <v>0</v>
      </c>
      <c r="Y182" s="221"/>
      <c r="Z182" s="27">
        <f>Z70</f>
        <v>0</v>
      </c>
      <c r="AA182" s="221"/>
      <c r="AB182" s="27">
        <f>AB70</f>
        <v>0</v>
      </c>
      <c r="AC182" s="221"/>
      <c r="AF182" s="27">
        <f>AF70</f>
        <v>0</v>
      </c>
      <c r="AG182" s="221"/>
      <c r="AH182" s="27">
        <f>AH70</f>
        <v>0</v>
      </c>
      <c r="AJ182" s="27">
        <f>AJ70</f>
        <v>0</v>
      </c>
      <c r="AL182" s="211"/>
      <c r="AM182" s="215"/>
      <c r="AN182" s="221"/>
      <c r="AO182" s="216"/>
      <c r="AP182" s="215"/>
      <c r="AQ182" s="217"/>
    </row>
    <row r="183" spans="2:46" ht="18" hidden="1" thickTop="1">
      <c r="G183" s="220"/>
      <c r="H183" s="27"/>
      <c r="I183" s="221"/>
      <c r="J183" s="27"/>
      <c r="K183" s="221"/>
      <c r="L183" s="27">
        <f>L177-L166-L167</f>
        <v>20705194.499999996</v>
      </c>
      <c r="M183" s="221"/>
      <c r="N183" s="27"/>
      <c r="O183" s="215"/>
      <c r="P183" s="27">
        <f>P177-P166-P167</f>
        <v>0</v>
      </c>
      <c r="Q183" s="221"/>
      <c r="R183" s="27">
        <f>R177-R166-R167</f>
        <v>0</v>
      </c>
      <c r="S183" s="221"/>
      <c r="T183" s="27">
        <f>T177-T166-T167</f>
        <v>0</v>
      </c>
      <c r="U183" s="221"/>
      <c r="V183" s="221"/>
      <c r="W183" s="221"/>
      <c r="X183" s="27">
        <f>X177-X166-X167</f>
        <v>0</v>
      </c>
      <c r="Y183" s="221"/>
      <c r="Z183" s="27">
        <f>Z177-Z166-Z167</f>
        <v>0</v>
      </c>
      <c r="AA183" s="221"/>
      <c r="AB183" s="27">
        <f>AB177-AB166-AB167</f>
        <v>0</v>
      </c>
      <c r="AC183" s="221"/>
      <c r="AF183" s="27">
        <f>AF177-AF166-AF167</f>
        <v>0</v>
      </c>
      <c r="AG183" s="221"/>
      <c r="AH183" s="27">
        <f>AH177-AH166-AH167</f>
        <v>0</v>
      </c>
      <c r="AJ183" s="27">
        <f>AJ177-AJ166-AJ167</f>
        <v>0</v>
      </c>
      <c r="AL183" s="211"/>
      <c r="AM183" s="215"/>
      <c r="AN183" s="221"/>
      <c r="AO183" s="216"/>
      <c r="AP183" s="215"/>
      <c r="AQ183" s="217"/>
    </row>
    <row r="184" spans="2:46" s="217" customFormat="1" ht="24" hidden="1" customHeight="1">
      <c r="C184" s="222"/>
      <c r="D184" s="222"/>
      <c r="E184" s="222"/>
      <c r="G184" s="220"/>
      <c r="H184" s="27"/>
      <c r="I184" s="221"/>
      <c r="J184" s="27"/>
      <c r="K184" s="221"/>
      <c r="L184" s="27">
        <f>L164-(SUM(L168:L175))</f>
        <v>32691048.772727273</v>
      </c>
      <c r="M184" s="221"/>
      <c r="N184" s="27"/>
      <c r="O184" s="223"/>
      <c r="P184" s="27">
        <f>P164-(SUM(P168:P175))</f>
        <v>0</v>
      </c>
      <c r="Q184" s="221"/>
      <c r="R184" s="27">
        <f>R164-(SUM(R168:R175))</f>
        <v>0</v>
      </c>
      <c r="S184" s="221"/>
      <c r="T184" s="27">
        <f>T164-(SUM(T168:T175))</f>
        <v>0</v>
      </c>
      <c r="U184" s="221"/>
      <c r="V184" s="221"/>
      <c r="W184" s="221"/>
      <c r="X184" s="27">
        <f>X164-(SUM(X168:X175))</f>
        <v>0</v>
      </c>
      <c r="Y184" s="221"/>
      <c r="Z184" s="27">
        <f>Z164-(SUM(Z168:Z175))</f>
        <v>0</v>
      </c>
      <c r="AA184" s="221"/>
      <c r="AB184" s="27">
        <f>AB164-(SUM(AB168:AB175))</f>
        <v>0</v>
      </c>
      <c r="AC184" s="221"/>
      <c r="AD184" s="27"/>
      <c r="AE184" s="27"/>
      <c r="AF184" s="27">
        <f>AF164-(SUM(AF168:AF175))</f>
        <v>0</v>
      </c>
      <c r="AG184" s="221"/>
      <c r="AH184" s="27">
        <f>AH164-(SUM(AH168:AH175))</f>
        <v>0</v>
      </c>
      <c r="AI184" s="27"/>
      <c r="AJ184" s="27">
        <f>AJ164-(SUM(AJ168:AJ175))</f>
        <v>0</v>
      </c>
      <c r="AK184" s="9"/>
      <c r="AL184" s="27"/>
      <c r="AM184" s="223"/>
      <c r="AN184" s="221"/>
      <c r="AO184" s="224"/>
      <c r="AP184" s="223"/>
      <c r="AS184" s="225"/>
    </row>
    <row r="185" spans="2:46" s="217" customFormat="1" ht="24" customHeight="1" thickTop="1">
      <c r="C185" s="222"/>
      <c r="D185" s="222"/>
      <c r="E185" s="222"/>
      <c r="F185" s="1059" t="s">
        <v>605</v>
      </c>
      <c r="G185" s="220" t="s">
        <v>601</v>
      </c>
      <c r="H185" s="27">
        <f>H177-H176</f>
        <v>24982380.400000006</v>
      </c>
      <c r="I185" s="221"/>
      <c r="J185" s="27">
        <f>J177-J176</f>
        <v>22140730</v>
      </c>
      <c r="K185" s="221"/>
      <c r="L185" s="27">
        <f>L177-L176</f>
        <v>26184545.799999997</v>
      </c>
      <c r="M185" s="221"/>
      <c r="N185" s="27">
        <f>N164-N176</f>
        <v>80501628.772727281</v>
      </c>
      <c r="O185" s="223"/>
      <c r="P185" s="27"/>
      <c r="Q185" s="221"/>
      <c r="R185" s="27"/>
      <c r="S185" s="221"/>
      <c r="T185" s="27"/>
      <c r="U185" s="221"/>
      <c r="V185" s="221"/>
      <c r="W185" s="221"/>
      <c r="X185" s="27"/>
      <c r="Y185" s="221"/>
      <c r="Z185" s="27"/>
      <c r="AA185" s="221"/>
      <c r="AB185" s="27"/>
      <c r="AC185" s="221"/>
      <c r="AD185" s="27"/>
      <c r="AE185" s="27"/>
      <c r="AF185" s="27"/>
      <c r="AG185" s="221"/>
      <c r="AH185" s="27"/>
      <c r="AI185" s="27"/>
      <c r="AJ185" s="27"/>
      <c r="AK185" s="9"/>
      <c r="AL185" s="27"/>
      <c r="AM185" s="223"/>
      <c r="AN185" s="27">
        <f>AN164-AN176</f>
        <v>80501628.772727281</v>
      </c>
      <c r="AO185" s="224"/>
      <c r="AP185" s="223"/>
      <c r="AS185" s="225"/>
    </row>
    <row r="186" spans="2:46" s="217" customFormat="1" ht="24" customHeight="1">
      <c r="C186" s="222"/>
      <c r="D186" s="222"/>
      <c r="E186" s="222"/>
      <c r="F186" s="1059"/>
      <c r="G186" s="220" t="s">
        <v>599</v>
      </c>
      <c r="H186" s="27">
        <f>H178-H176</f>
        <v>122228830.36016619</v>
      </c>
      <c r="I186" s="221"/>
      <c r="J186" s="27">
        <f>J178-J176</f>
        <v>113909585.17424244</v>
      </c>
      <c r="K186" s="221"/>
      <c r="L186" s="27">
        <f>L178-L176</f>
        <v>129698528.15606061</v>
      </c>
      <c r="M186" s="221"/>
      <c r="N186" s="27">
        <f>N178-N176</f>
        <v>365836943.69046926</v>
      </c>
      <c r="O186" s="223"/>
      <c r="P186" s="27"/>
      <c r="Q186" s="221"/>
      <c r="R186" s="27"/>
      <c r="S186" s="221"/>
      <c r="T186" s="27"/>
      <c r="U186" s="221"/>
      <c r="V186" s="221"/>
      <c r="W186" s="221"/>
      <c r="X186" s="27"/>
      <c r="Y186" s="221"/>
      <c r="Z186" s="27"/>
      <c r="AA186" s="221"/>
      <c r="AB186" s="27"/>
      <c r="AC186" s="221"/>
      <c r="AD186" s="27"/>
      <c r="AE186" s="27"/>
      <c r="AF186" s="27"/>
      <c r="AG186" s="221"/>
      <c r="AH186" s="27"/>
      <c r="AI186" s="27"/>
      <c r="AJ186" s="27"/>
      <c r="AK186" s="9"/>
      <c r="AL186" s="27"/>
      <c r="AM186" s="223"/>
      <c r="AN186" s="27">
        <f>AN178-AN176</f>
        <v>365836943.69046926</v>
      </c>
      <c r="AO186" s="224"/>
      <c r="AP186" s="223"/>
      <c r="AS186" s="225"/>
    </row>
    <row r="187" spans="2:46" s="217" customFormat="1" ht="24" customHeight="1">
      <c r="C187" s="222"/>
      <c r="D187" s="222"/>
      <c r="E187" s="222"/>
      <c r="F187" s="1059"/>
      <c r="G187" s="220" t="s">
        <v>598</v>
      </c>
      <c r="H187" s="27">
        <f>H179+H176</f>
        <v>-37399877.360166192</v>
      </c>
      <c r="I187" s="768">
        <f>H187/H$27</f>
        <v>-0.4408857593723477</v>
      </c>
      <c r="J187" s="27">
        <f>J179+J176</f>
        <v>-40146960.774242431</v>
      </c>
      <c r="K187" s="768">
        <f>J187/J$27</f>
        <v>-0.5442724021929245</v>
      </c>
      <c r="L187" s="27">
        <f>L179+L176</f>
        <v>-28038551.156060606</v>
      </c>
      <c r="M187" s="768">
        <f>L187/L$27</f>
        <v>-0.27580717587670323</v>
      </c>
      <c r="N187" s="27">
        <f>N179+N176</f>
        <v>-105585389.29046923</v>
      </c>
      <c r="O187" s="768">
        <f>N187/N$27</f>
        <v>-0.40570512454341456</v>
      </c>
      <c r="P187" s="27"/>
      <c r="Q187" s="221"/>
      <c r="R187" s="27"/>
      <c r="S187" s="221"/>
      <c r="T187" s="27"/>
      <c r="U187" s="221"/>
      <c r="V187" s="221"/>
      <c r="W187" s="221"/>
      <c r="X187" s="27"/>
      <c r="Y187" s="221"/>
      <c r="Z187" s="27"/>
      <c r="AA187" s="221"/>
      <c r="AB187" s="27"/>
      <c r="AC187" s="221"/>
      <c r="AD187" s="27"/>
      <c r="AE187" s="27"/>
      <c r="AF187" s="27"/>
      <c r="AG187" s="221"/>
      <c r="AH187" s="27"/>
      <c r="AI187" s="27"/>
      <c r="AJ187" s="27"/>
      <c r="AK187" s="9"/>
      <c r="AL187" s="27"/>
      <c r="AM187" s="223"/>
      <c r="AN187" s="175">
        <f>AN179+AN176</f>
        <v>-105585389.29046923</v>
      </c>
      <c r="AO187" s="768">
        <f>AN187/$AN$27</f>
        <v>-0.40570512454341456</v>
      </c>
      <c r="AP187" s="223"/>
      <c r="AS187" s="225"/>
    </row>
    <row r="188" spans="2:46" s="217" customFormat="1" ht="24" customHeight="1">
      <c r="C188" s="222"/>
      <c r="D188" s="222"/>
      <c r="E188" s="222"/>
      <c r="G188" s="220"/>
      <c r="H188" s="27"/>
      <c r="I188" s="221"/>
      <c r="J188" s="27"/>
      <c r="K188" s="221"/>
      <c r="L188" s="27"/>
      <c r="M188" s="221"/>
      <c r="N188" s="27"/>
      <c r="O188" s="223"/>
      <c r="P188" s="27"/>
      <c r="Q188" s="221"/>
      <c r="R188" s="27"/>
      <c r="S188" s="221"/>
      <c r="T188" s="27"/>
      <c r="U188" s="221"/>
      <c r="V188" s="221"/>
      <c r="W188" s="221"/>
      <c r="X188" s="27"/>
      <c r="Y188" s="221"/>
      <c r="Z188" s="27"/>
      <c r="AA188" s="221"/>
      <c r="AB188" s="27"/>
      <c r="AC188" s="221"/>
      <c r="AD188" s="27"/>
      <c r="AE188" s="27"/>
      <c r="AF188" s="27"/>
      <c r="AG188" s="221"/>
      <c r="AH188" s="27"/>
      <c r="AI188" s="27"/>
      <c r="AJ188" s="27"/>
      <c r="AK188" s="9"/>
      <c r="AL188" s="27"/>
      <c r="AM188" s="223"/>
      <c r="AN188" s="221"/>
      <c r="AO188" s="224"/>
      <c r="AP188" s="223"/>
      <c r="AS188" s="225"/>
    </row>
    <row r="189" spans="2:46" s="217" customFormat="1" ht="24" hidden="1" customHeight="1">
      <c r="C189" s="222"/>
      <c r="D189" s="222"/>
      <c r="E189" s="222"/>
      <c r="G189" s="226" t="s">
        <v>600</v>
      </c>
      <c r="H189" s="227">
        <v>114097582</v>
      </c>
      <c r="I189" s="230"/>
      <c r="J189" s="227">
        <v>99889330</v>
      </c>
      <c r="K189" s="230"/>
      <c r="L189" s="227">
        <v>121154954</v>
      </c>
      <c r="M189" s="230"/>
      <c r="N189" s="228"/>
      <c r="O189" s="229"/>
      <c r="P189" s="227"/>
      <c r="Q189" s="230"/>
      <c r="R189" s="227"/>
      <c r="S189" s="229"/>
      <c r="T189" s="227"/>
      <c r="U189" s="229"/>
      <c r="V189" s="8"/>
      <c r="W189" s="8"/>
      <c r="X189" s="227"/>
      <c r="Y189" s="229"/>
      <c r="Z189" s="227"/>
      <c r="AA189" s="229"/>
      <c r="AB189" s="227"/>
      <c r="AC189" s="229"/>
      <c r="AD189" s="8"/>
      <c r="AE189" s="231"/>
      <c r="AF189" s="227"/>
      <c r="AG189" s="229"/>
      <c r="AH189" s="227"/>
      <c r="AI189" s="231"/>
      <c r="AJ189" s="227"/>
      <c r="AK189" s="9" t="s">
        <v>277</v>
      </c>
      <c r="AL189" s="231"/>
      <c r="AM189" s="229"/>
      <c r="AN189" s="232"/>
      <c r="AO189" s="9"/>
      <c r="AP189" s="229"/>
    </row>
    <row r="190" spans="2:46" ht="27" hidden="1">
      <c r="B190" s="233" t="s">
        <v>278</v>
      </c>
      <c r="G190" s="234" t="s">
        <v>279</v>
      </c>
      <c r="H190" s="235"/>
      <c r="I190" s="237"/>
      <c r="J190" s="235"/>
      <c r="K190" s="237"/>
      <c r="L190" s="236"/>
      <c r="M190" s="237"/>
      <c r="N190" s="10"/>
      <c r="O190" s="237"/>
      <c r="P190" s="236">
        <f>P191-P189</f>
        <v>0</v>
      </c>
      <c r="Q190" s="237"/>
      <c r="R190" s="236"/>
      <c r="S190" s="237"/>
      <c r="T190" s="236"/>
      <c r="U190" s="237"/>
      <c r="V190" s="10"/>
      <c r="W190" s="10"/>
      <c r="X190" s="236"/>
      <c r="Y190" s="237"/>
      <c r="Z190" s="236"/>
      <c r="AA190" s="237"/>
      <c r="AB190" s="236"/>
      <c r="AC190" s="237"/>
      <c r="AD190" s="10"/>
      <c r="AE190" s="238"/>
      <c r="AF190" s="236"/>
      <c r="AG190" s="237"/>
      <c r="AH190" s="236"/>
      <c r="AI190" s="238"/>
      <c r="AJ190" s="236"/>
      <c r="AK190" s="10"/>
      <c r="AL190" s="238"/>
      <c r="AM190" s="237"/>
      <c r="AN190" s="238"/>
      <c r="AO190" s="10"/>
      <c r="AP190" s="237"/>
      <c r="AQ190" s="217"/>
    </row>
    <row r="191" spans="2:46" s="10" customFormat="1" ht="16.5" hidden="1" customHeight="1">
      <c r="B191" s="5"/>
      <c r="C191" s="6" t="s">
        <v>280</v>
      </c>
      <c r="D191" s="212"/>
      <c r="E191" s="212"/>
      <c r="F191" s="239" t="s">
        <v>281</v>
      </c>
      <c r="G191" s="226"/>
      <c r="H191" s="765"/>
      <c r="I191" s="241"/>
      <c r="J191" s="765"/>
      <c r="K191" s="241"/>
      <c r="L191" s="765"/>
      <c r="M191" s="241"/>
      <c r="N191" s="240"/>
      <c r="O191" s="241"/>
      <c r="P191" s="765"/>
      <c r="Q191" s="241"/>
      <c r="R191" s="765"/>
      <c r="S191" s="241"/>
      <c r="T191" s="765"/>
      <c r="U191" s="241"/>
      <c r="V191" s="240"/>
      <c r="W191" s="240"/>
      <c r="X191" s="765"/>
      <c r="Y191" s="241"/>
      <c r="Z191" s="765"/>
      <c r="AA191" s="241"/>
      <c r="AB191" s="765"/>
      <c r="AC191" s="241"/>
      <c r="AD191" s="240"/>
      <c r="AE191" s="240"/>
      <c r="AF191" s="765"/>
      <c r="AG191" s="241"/>
      <c r="AH191" s="765"/>
      <c r="AI191" s="83"/>
      <c r="AJ191" s="765"/>
      <c r="AK191" s="240"/>
      <c r="AL191" s="242"/>
      <c r="AM191" s="241"/>
      <c r="AN191" s="240"/>
      <c r="AO191" s="240"/>
      <c r="AP191" s="241"/>
      <c r="AQ191" s="9"/>
    </row>
    <row r="192" spans="2:46" s="10" customFormat="1" ht="16.5" hidden="1" customHeight="1">
      <c r="B192" s="5"/>
      <c r="C192" s="9" t="s">
        <v>282</v>
      </c>
      <c r="D192" s="5"/>
      <c r="E192" s="5"/>
      <c r="F192" s="239" t="s">
        <v>283</v>
      </c>
      <c r="G192" s="8"/>
      <c r="H192" s="420" t="s">
        <v>1</v>
      </c>
      <c r="I192" s="420"/>
      <c r="J192" s="420"/>
      <c r="K192" s="420"/>
      <c r="L192" s="420"/>
      <c r="M192" s="420"/>
      <c r="N192" s="420"/>
      <c r="O192" s="420"/>
      <c r="P192" s="420"/>
      <c r="Q192" s="420"/>
      <c r="R192" s="420"/>
      <c r="S192" s="420"/>
      <c r="T192" s="420"/>
      <c r="U192" s="420"/>
      <c r="V192" s="420"/>
      <c r="W192" s="420"/>
      <c r="X192" s="420"/>
      <c r="Y192" s="420"/>
      <c r="Z192" s="420"/>
      <c r="AA192" s="420"/>
      <c r="AB192" s="420"/>
      <c r="AC192" s="420"/>
      <c r="AD192" s="420"/>
      <c r="AE192" s="420"/>
      <c r="AF192" s="420"/>
      <c r="AG192" s="420"/>
      <c r="AH192" s="420"/>
      <c r="AI192" s="420"/>
      <c r="AJ192" s="420"/>
      <c r="AK192" s="420"/>
      <c r="AL192" s="420"/>
      <c r="AM192" s="420"/>
      <c r="AN192" s="420"/>
      <c r="AO192" s="241"/>
      <c r="AP192" s="9"/>
    </row>
    <row r="193" spans="1:46" s="5" customFormat="1" ht="20" hidden="1" customHeight="1">
      <c r="B193" s="104"/>
      <c r="C193" s="104" t="s">
        <v>2</v>
      </c>
      <c r="D193" s="104" t="s">
        <v>3</v>
      </c>
      <c r="E193" s="243" t="s">
        <v>4</v>
      </c>
      <c r="F193" s="104" t="s">
        <v>5</v>
      </c>
      <c r="G193" s="104" t="s">
        <v>6</v>
      </c>
      <c r="H193" s="104" t="s">
        <v>7</v>
      </c>
      <c r="I193" s="19"/>
      <c r="J193" s="104" t="s">
        <v>8</v>
      </c>
      <c r="K193" s="19"/>
      <c r="L193" s="104" t="s">
        <v>9</v>
      </c>
      <c r="M193" s="19"/>
      <c r="N193" s="244" t="s">
        <v>10</v>
      </c>
      <c r="O193" s="19"/>
      <c r="P193" s="104" t="s">
        <v>12</v>
      </c>
      <c r="Q193" s="19"/>
      <c r="R193" s="104" t="s">
        <v>341</v>
      </c>
      <c r="S193" s="19"/>
      <c r="T193" s="104" t="s">
        <v>342</v>
      </c>
      <c r="U193" s="19"/>
      <c r="V193" s="244" t="s">
        <v>461</v>
      </c>
      <c r="W193" s="19"/>
      <c r="X193" s="104" t="s">
        <v>344</v>
      </c>
      <c r="Y193" s="19"/>
      <c r="Z193" s="104" t="s">
        <v>345</v>
      </c>
      <c r="AA193" s="19"/>
      <c r="AB193" s="104" t="s">
        <v>346</v>
      </c>
      <c r="AC193" s="19"/>
      <c r="AD193" s="244" t="s">
        <v>460</v>
      </c>
      <c r="AE193" s="19"/>
      <c r="AF193" s="104" t="s">
        <v>347</v>
      </c>
      <c r="AG193" s="19"/>
      <c r="AH193" s="104" t="s">
        <v>348</v>
      </c>
      <c r="AI193" s="19"/>
      <c r="AJ193" s="104" t="s">
        <v>32</v>
      </c>
      <c r="AK193" s="19"/>
      <c r="AL193" s="244" t="s">
        <v>459</v>
      </c>
      <c r="AM193" s="19"/>
      <c r="AN193" s="244" t="s">
        <v>463</v>
      </c>
      <c r="AO193" s="19"/>
    </row>
    <row r="194" spans="1:46" s="10" customFormat="1" ht="18" hidden="1" customHeight="1">
      <c r="A194" s="5"/>
      <c r="B194" s="86"/>
      <c r="C194" s="86" t="s">
        <v>284</v>
      </c>
      <c r="D194" s="717" t="s">
        <v>595</v>
      </c>
      <c r="E194" s="766" t="s">
        <v>595</v>
      </c>
      <c r="F194" s="135" t="s">
        <v>586</v>
      </c>
      <c r="G194" s="245" t="s">
        <v>596</v>
      </c>
      <c r="H194" s="246">
        <v>9000000</v>
      </c>
      <c r="I194" s="241"/>
      <c r="J194" s="246"/>
      <c r="K194" s="241"/>
      <c r="L194" s="246"/>
      <c r="M194" s="241"/>
      <c r="N194" s="247">
        <f>SUM(H194:L194)</f>
        <v>9000000</v>
      </c>
      <c r="O194" s="241"/>
      <c r="P194" s="246"/>
      <c r="Q194" s="241"/>
      <c r="R194" s="246"/>
      <c r="S194" s="241"/>
      <c r="T194" s="246"/>
      <c r="U194" s="241"/>
      <c r="V194" s="247">
        <f>SUM(P194:T194)</f>
        <v>0</v>
      </c>
      <c r="W194" s="241"/>
      <c r="X194" s="246"/>
      <c r="Y194" s="241"/>
      <c r="Z194" s="246"/>
      <c r="AA194" s="241"/>
      <c r="AB194" s="246"/>
      <c r="AC194" s="241"/>
      <c r="AD194" s="247">
        <f>SUM(X194:AB194)</f>
        <v>0</v>
      </c>
      <c r="AE194" s="241"/>
      <c r="AF194" s="246"/>
      <c r="AG194" s="241"/>
      <c r="AH194" s="246"/>
      <c r="AI194" s="241"/>
      <c r="AJ194" s="246"/>
      <c r="AK194" s="241"/>
      <c r="AL194" s="247">
        <f>SUM(AF194:AJ194)</f>
        <v>0</v>
      </c>
      <c r="AM194" s="241"/>
      <c r="AN194" s="248">
        <f t="shared" ref="AN194:AN203" si="39">SUM(AD194,V194,N194+AL194)</f>
        <v>9000000</v>
      </c>
      <c r="AO194" s="241"/>
      <c r="AP194" s="28"/>
      <c r="AQ194" s="28"/>
      <c r="AR194" s="28"/>
      <c r="AS194" s="28"/>
      <c r="AT194" s="28"/>
    </row>
    <row r="195" spans="1:46" s="10" customFormat="1" ht="18" hidden="1" customHeight="1">
      <c r="A195" s="5"/>
      <c r="B195" s="86"/>
      <c r="C195" s="86" t="s">
        <v>284</v>
      </c>
      <c r="D195" s="1032" t="s">
        <v>231</v>
      </c>
      <c r="E195" s="1032" t="s">
        <v>236</v>
      </c>
      <c r="F195" s="135" t="s">
        <v>285</v>
      </c>
      <c r="G195" s="245" t="s">
        <v>286</v>
      </c>
      <c r="H195" s="246">
        <v>160000</v>
      </c>
      <c r="I195" s="241"/>
      <c r="J195" s="246">
        <f>5550000+1800000+40000</f>
        <v>7390000</v>
      </c>
      <c r="K195" s="241"/>
      <c r="L195" s="246"/>
      <c r="M195" s="241"/>
      <c r="N195" s="247">
        <f>SUM(H195:L195)</f>
        <v>7550000</v>
      </c>
      <c r="O195" s="241"/>
      <c r="P195" s="246"/>
      <c r="Q195" s="241"/>
      <c r="R195" s="246"/>
      <c r="S195" s="241"/>
      <c r="T195" s="246"/>
      <c r="U195" s="241"/>
      <c r="V195" s="247">
        <f>SUM(P195:T195)</f>
        <v>0</v>
      </c>
      <c r="W195" s="241"/>
      <c r="X195" s="246"/>
      <c r="Y195" s="241"/>
      <c r="Z195" s="246"/>
      <c r="AA195" s="241"/>
      <c r="AB195" s="246"/>
      <c r="AC195" s="241"/>
      <c r="AD195" s="247">
        <f>SUM(X195:AB195)</f>
        <v>0</v>
      </c>
      <c r="AE195" s="241"/>
      <c r="AF195" s="246"/>
      <c r="AG195" s="241"/>
      <c r="AH195" s="246"/>
      <c r="AI195" s="241"/>
      <c r="AJ195" s="246"/>
      <c r="AK195" s="241"/>
      <c r="AL195" s="247">
        <f>SUM(AF195:AJ195)</f>
        <v>0</v>
      </c>
      <c r="AM195" s="241"/>
      <c r="AN195" s="248">
        <f t="shared" si="39"/>
        <v>7550000</v>
      </c>
      <c r="AO195" s="241"/>
      <c r="AP195" s="28"/>
      <c r="AQ195" s="28"/>
      <c r="AR195" s="28"/>
      <c r="AS195" s="28"/>
      <c r="AT195" s="28"/>
    </row>
    <row r="196" spans="1:46" s="10" customFormat="1" ht="18" hidden="1" customHeight="1">
      <c r="A196" s="5"/>
      <c r="B196" s="86"/>
      <c r="C196" s="86" t="s">
        <v>284</v>
      </c>
      <c r="D196" s="1033"/>
      <c r="E196" s="1034"/>
      <c r="F196" s="135" t="s">
        <v>287</v>
      </c>
      <c r="G196" s="245" t="s">
        <v>288</v>
      </c>
      <c r="H196" s="246"/>
      <c r="I196" s="241"/>
      <c r="J196" s="246"/>
      <c r="K196" s="241"/>
      <c r="L196" s="246"/>
      <c r="M196" s="241"/>
      <c r="N196" s="247">
        <f t="shared" ref="N196:N203" si="40">SUM(H196:L196)</f>
        <v>0</v>
      </c>
      <c r="O196" s="241"/>
      <c r="P196" s="246"/>
      <c r="Q196" s="241"/>
      <c r="R196" s="246"/>
      <c r="S196" s="241"/>
      <c r="T196" s="246"/>
      <c r="U196" s="241"/>
      <c r="V196" s="247">
        <f t="shared" ref="V196:V203" si="41">SUM(P196:T196)</f>
        <v>0</v>
      </c>
      <c r="W196" s="241"/>
      <c r="X196" s="246"/>
      <c r="Y196" s="241"/>
      <c r="Z196" s="246"/>
      <c r="AA196" s="241"/>
      <c r="AB196" s="246"/>
      <c r="AC196" s="241"/>
      <c r="AD196" s="247">
        <f t="shared" ref="AD196:AD203" si="42">SUM(X196:AB196)</f>
        <v>0</v>
      </c>
      <c r="AE196" s="241"/>
      <c r="AF196" s="246"/>
      <c r="AG196" s="241"/>
      <c r="AH196" s="246"/>
      <c r="AI196" s="241"/>
      <c r="AJ196" s="246"/>
      <c r="AK196" s="241"/>
      <c r="AL196" s="247">
        <f t="shared" ref="AL196:AL203" si="43">SUM(AF196:AJ196)</f>
        <v>0</v>
      </c>
      <c r="AM196" s="241"/>
      <c r="AN196" s="248">
        <f t="shared" si="39"/>
        <v>0</v>
      </c>
      <c r="AO196" s="241"/>
      <c r="AP196" s="28"/>
      <c r="AQ196" s="28"/>
      <c r="AR196" s="28"/>
      <c r="AS196" s="28"/>
      <c r="AT196" s="28"/>
    </row>
    <row r="197" spans="1:46" s="10" customFormat="1" ht="18" hidden="1" customHeight="1">
      <c r="A197" s="5"/>
      <c r="B197" s="86"/>
      <c r="C197" s="86" t="s">
        <v>284</v>
      </c>
      <c r="D197" s="1033"/>
      <c r="E197" s="1033" t="s">
        <v>520</v>
      </c>
      <c r="F197" s="135" t="s">
        <v>289</v>
      </c>
      <c r="G197" s="245" t="s">
        <v>290</v>
      </c>
      <c r="H197" s="246"/>
      <c r="I197" s="241"/>
      <c r="J197" s="246"/>
      <c r="K197" s="241"/>
      <c r="L197" s="246"/>
      <c r="M197" s="241"/>
      <c r="N197" s="247">
        <f t="shared" si="40"/>
        <v>0</v>
      </c>
      <c r="O197" s="241"/>
      <c r="P197" s="246"/>
      <c r="Q197" s="241"/>
      <c r="R197" s="246"/>
      <c r="S197" s="241"/>
      <c r="T197" s="246"/>
      <c r="U197" s="241"/>
      <c r="V197" s="247">
        <f t="shared" si="41"/>
        <v>0</v>
      </c>
      <c r="W197" s="241"/>
      <c r="X197" s="246"/>
      <c r="Y197" s="241"/>
      <c r="Z197" s="246"/>
      <c r="AA197" s="241"/>
      <c r="AB197" s="246"/>
      <c r="AC197" s="241"/>
      <c r="AD197" s="247">
        <f t="shared" si="42"/>
        <v>0</v>
      </c>
      <c r="AE197" s="241"/>
      <c r="AF197" s="246"/>
      <c r="AG197" s="241"/>
      <c r="AH197" s="246"/>
      <c r="AI197" s="241"/>
      <c r="AJ197" s="246"/>
      <c r="AK197" s="241"/>
      <c r="AL197" s="247">
        <f t="shared" si="43"/>
        <v>0</v>
      </c>
      <c r="AM197" s="241"/>
      <c r="AN197" s="248">
        <f t="shared" si="39"/>
        <v>0</v>
      </c>
      <c r="AO197" s="241"/>
      <c r="AP197" s="28"/>
      <c r="AQ197" s="28"/>
      <c r="AR197" s="28"/>
      <c r="AS197" s="28"/>
      <c r="AT197" s="28"/>
    </row>
    <row r="198" spans="1:46" s="10" customFormat="1" ht="18" hidden="1" customHeight="1">
      <c r="A198" s="5"/>
      <c r="B198" s="86"/>
      <c r="C198" s="86" t="s">
        <v>284</v>
      </c>
      <c r="D198" s="1033"/>
      <c r="E198" s="1034"/>
      <c r="F198" s="135" t="s">
        <v>291</v>
      </c>
      <c r="G198" s="245" t="s">
        <v>292</v>
      </c>
      <c r="H198" s="246"/>
      <c r="I198" s="241"/>
      <c r="J198" s="246"/>
      <c r="K198" s="241"/>
      <c r="L198" s="246"/>
      <c r="M198" s="241"/>
      <c r="N198" s="247">
        <f t="shared" si="40"/>
        <v>0</v>
      </c>
      <c r="O198" s="241"/>
      <c r="P198" s="246"/>
      <c r="Q198" s="241"/>
      <c r="R198" s="246"/>
      <c r="S198" s="241"/>
      <c r="T198" s="246"/>
      <c r="U198" s="241"/>
      <c r="V198" s="247">
        <f t="shared" si="41"/>
        <v>0</v>
      </c>
      <c r="W198" s="241"/>
      <c r="X198" s="246"/>
      <c r="Y198" s="241"/>
      <c r="Z198" s="246"/>
      <c r="AA198" s="241"/>
      <c r="AB198" s="246"/>
      <c r="AC198" s="241"/>
      <c r="AD198" s="247">
        <f t="shared" si="42"/>
        <v>0</v>
      </c>
      <c r="AE198" s="241"/>
      <c r="AF198" s="246"/>
      <c r="AG198" s="241"/>
      <c r="AH198" s="246"/>
      <c r="AI198" s="241"/>
      <c r="AJ198" s="246"/>
      <c r="AK198" s="241"/>
      <c r="AL198" s="247">
        <f t="shared" si="43"/>
        <v>0</v>
      </c>
      <c r="AM198" s="241"/>
      <c r="AN198" s="248">
        <f t="shared" si="39"/>
        <v>0</v>
      </c>
      <c r="AO198" s="241"/>
      <c r="AP198" s="28"/>
      <c r="AQ198" s="28"/>
      <c r="AR198" s="28"/>
      <c r="AS198" s="28"/>
      <c r="AT198" s="28"/>
    </row>
    <row r="199" spans="1:46" s="10" customFormat="1" ht="18" hidden="1" customHeight="1">
      <c r="A199" s="5"/>
      <c r="B199" s="86"/>
      <c r="C199" s="86" t="s">
        <v>284</v>
      </c>
      <c r="D199" s="1033"/>
      <c r="E199" s="1032" t="s">
        <v>233</v>
      </c>
      <c r="F199" s="135" t="s">
        <v>293</v>
      </c>
      <c r="G199" s="245" t="s">
        <v>294</v>
      </c>
      <c r="H199" s="246"/>
      <c r="I199" s="241"/>
      <c r="J199" s="246"/>
      <c r="K199" s="241"/>
      <c r="L199" s="246"/>
      <c r="M199" s="241"/>
      <c r="N199" s="247">
        <f t="shared" si="40"/>
        <v>0</v>
      </c>
      <c r="O199" s="241"/>
      <c r="P199" s="246"/>
      <c r="Q199" s="241"/>
      <c r="R199" s="246"/>
      <c r="S199" s="241"/>
      <c r="T199" s="246"/>
      <c r="U199" s="241"/>
      <c r="V199" s="247">
        <f t="shared" si="41"/>
        <v>0</v>
      </c>
      <c r="W199" s="241"/>
      <c r="X199" s="246"/>
      <c r="Y199" s="241"/>
      <c r="Z199" s="246"/>
      <c r="AA199" s="241"/>
      <c r="AB199" s="246"/>
      <c r="AC199" s="241"/>
      <c r="AD199" s="247">
        <f t="shared" si="42"/>
        <v>0</v>
      </c>
      <c r="AE199" s="241"/>
      <c r="AF199" s="246"/>
      <c r="AG199" s="241"/>
      <c r="AH199" s="246"/>
      <c r="AI199" s="241"/>
      <c r="AJ199" s="246"/>
      <c r="AK199" s="241"/>
      <c r="AL199" s="247">
        <f t="shared" si="43"/>
        <v>0</v>
      </c>
      <c r="AM199" s="241"/>
      <c r="AN199" s="248">
        <f t="shared" si="39"/>
        <v>0</v>
      </c>
      <c r="AO199" s="241"/>
      <c r="AP199" s="28"/>
      <c r="AQ199" s="28"/>
      <c r="AR199" s="28"/>
      <c r="AS199" s="28"/>
      <c r="AT199" s="28"/>
    </row>
    <row r="200" spans="1:46" s="10" customFormat="1" ht="18" hidden="1" customHeight="1">
      <c r="A200" s="5"/>
      <c r="B200" s="86"/>
      <c r="C200" s="86" t="s">
        <v>284</v>
      </c>
      <c r="D200" s="1033"/>
      <c r="E200" s="1034"/>
      <c r="F200" s="135" t="s">
        <v>295</v>
      </c>
      <c r="G200" s="245" t="s">
        <v>296</v>
      </c>
      <c r="H200" s="246"/>
      <c r="I200" s="241"/>
      <c r="J200" s="246"/>
      <c r="K200" s="241"/>
      <c r="L200" s="246"/>
      <c r="M200" s="241"/>
      <c r="N200" s="247">
        <f t="shared" si="40"/>
        <v>0</v>
      </c>
      <c r="O200" s="241"/>
      <c r="P200" s="246"/>
      <c r="Q200" s="241"/>
      <c r="R200" s="246"/>
      <c r="S200" s="241"/>
      <c r="T200" s="246"/>
      <c r="U200" s="241"/>
      <c r="V200" s="247">
        <f t="shared" si="41"/>
        <v>0</v>
      </c>
      <c r="W200" s="241"/>
      <c r="X200" s="246"/>
      <c r="Y200" s="241"/>
      <c r="Z200" s="246"/>
      <c r="AA200" s="241"/>
      <c r="AB200" s="246"/>
      <c r="AC200" s="241"/>
      <c r="AD200" s="247">
        <f t="shared" si="42"/>
        <v>0</v>
      </c>
      <c r="AE200" s="241"/>
      <c r="AF200" s="246"/>
      <c r="AG200" s="241"/>
      <c r="AH200" s="246"/>
      <c r="AI200" s="241"/>
      <c r="AJ200" s="246"/>
      <c r="AK200" s="241"/>
      <c r="AL200" s="247">
        <f t="shared" si="43"/>
        <v>0</v>
      </c>
      <c r="AM200" s="241"/>
      <c r="AN200" s="248">
        <f t="shared" si="39"/>
        <v>0</v>
      </c>
      <c r="AO200" s="241"/>
      <c r="AP200" s="28"/>
      <c r="AQ200" s="28"/>
      <c r="AR200" s="28"/>
      <c r="AS200" s="28"/>
      <c r="AT200" s="28"/>
    </row>
    <row r="201" spans="1:46" s="10" customFormat="1" ht="18" hidden="1" customHeight="1">
      <c r="A201" s="5"/>
      <c r="B201" s="86"/>
      <c r="C201" s="86" t="s">
        <v>284</v>
      </c>
      <c r="D201" s="1032" t="s">
        <v>238</v>
      </c>
      <c r="E201" s="1032" t="s">
        <v>297</v>
      </c>
      <c r="F201" s="135" t="s">
        <v>209</v>
      </c>
      <c r="G201" s="245" t="s">
        <v>298</v>
      </c>
      <c r="H201" s="246"/>
      <c r="I201" s="241"/>
      <c r="J201" s="246"/>
      <c r="K201" s="241"/>
      <c r="L201" s="246"/>
      <c r="M201" s="241"/>
      <c r="N201" s="247">
        <f t="shared" si="40"/>
        <v>0</v>
      </c>
      <c r="O201" s="241"/>
      <c r="P201" s="246"/>
      <c r="Q201" s="241"/>
      <c r="R201" s="246"/>
      <c r="S201" s="241"/>
      <c r="T201" s="246"/>
      <c r="U201" s="241"/>
      <c r="V201" s="247">
        <f t="shared" si="41"/>
        <v>0</v>
      </c>
      <c r="W201" s="241"/>
      <c r="X201" s="246"/>
      <c r="Y201" s="241"/>
      <c r="Z201" s="246"/>
      <c r="AA201" s="241"/>
      <c r="AB201" s="246"/>
      <c r="AC201" s="241"/>
      <c r="AD201" s="247">
        <f t="shared" si="42"/>
        <v>0</v>
      </c>
      <c r="AE201" s="241"/>
      <c r="AF201" s="246"/>
      <c r="AG201" s="241"/>
      <c r="AH201" s="246"/>
      <c r="AI201" s="241"/>
      <c r="AJ201" s="246"/>
      <c r="AK201" s="241"/>
      <c r="AL201" s="247">
        <f t="shared" si="43"/>
        <v>0</v>
      </c>
      <c r="AM201" s="241"/>
      <c r="AN201" s="248">
        <f t="shared" si="39"/>
        <v>0</v>
      </c>
      <c r="AO201" s="241"/>
      <c r="AP201" s="28"/>
      <c r="AQ201" s="28"/>
      <c r="AR201" s="28"/>
      <c r="AS201" s="28"/>
      <c r="AT201" s="28"/>
    </row>
    <row r="202" spans="1:46" s="10" customFormat="1" ht="18" hidden="1" customHeight="1" thickBot="1">
      <c r="A202" s="5"/>
      <c r="B202" s="86"/>
      <c r="C202" s="86" t="s">
        <v>284</v>
      </c>
      <c r="D202" s="1034"/>
      <c r="E202" s="1034"/>
      <c r="F202" s="135" t="s">
        <v>209</v>
      </c>
      <c r="G202" s="245" t="s">
        <v>299</v>
      </c>
      <c r="H202" s="246"/>
      <c r="I202" s="241"/>
      <c r="J202" s="246"/>
      <c r="K202" s="241"/>
      <c r="L202" s="246"/>
      <c r="M202" s="241"/>
      <c r="N202" s="247">
        <f t="shared" si="40"/>
        <v>0</v>
      </c>
      <c r="O202" s="241"/>
      <c r="P202" s="246"/>
      <c r="Q202" s="241"/>
      <c r="R202" s="246"/>
      <c r="S202" s="241"/>
      <c r="T202" s="246"/>
      <c r="U202" s="241"/>
      <c r="V202" s="247">
        <f t="shared" si="41"/>
        <v>0</v>
      </c>
      <c r="W202" s="241"/>
      <c r="X202" s="246"/>
      <c r="Y202" s="241"/>
      <c r="Z202" s="246"/>
      <c r="AA202" s="241"/>
      <c r="AB202" s="246"/>
      <c r="AC202" s="241"/>
      <c r="AD202" s="247">
        <f t="shared" si="42"/>
        <v>0</v>
      </c>
      <c r="AE202" s="241"/>
      <c r="AF202" s="246"/>
      <c r="AG202" s="241"/>
      <c r="AH202" s="246"/>
      <c r="AI202" s="241"/>
      <c r="AJ202" s="246"/>
      <c r="AK202" s="241"/>
      <c r="AL202" s="247">
        <f t="shared" si="43"/>
        <v>0</v>
      </c>
      <c r="AM202" s="241"/>
      <c r="AN202" s="248">
        <f t="shared" si="39"/>
        <v>0</v>
      </c>
      <c r="AO202" s="241"/>
      <c r="AP202" s="28"/>
      <c r="AQ202" s="28"/>
      <c r="AR202" s="28"/>
      <c r="AS202" s="28"/>
      <c r="AT202" s="28"/>
    </row>
    <row r="203" spans="1:46" s="10" customFormat="1" ht="20" hidden="1" customHeight="1" thickBot="1">
      <c r="B203" s="1050" t="s">
        <v>300</v>
      </c>
      <c r="C203" s="1051"/>
      <c r="D203" s="1051"/>
      <c r="E203" s="1051"/>
      <c r="F203" s="1051"/>
      <c r="G203" s="1052"/>
      <c r="H203" s="249">
        <f>SUM(H195:H202)</f>
        <v>160000</v>
      </c>
      <c r="I203" s="241"/>
      <c r="J203" s="249">
        <f>SUM(J195:J202)</f>
        <v>7390000</v>
      </c>
      <c r="K203" s="241"/>
      <c r="L203" s="249">
        <f>SUM(L195:L202)</f>
        <v>0</v>
      </c>
      <c r="M203" s="241"/>
      <c r="N203" s="249">
        <f t="shared" si="40"/>
        <v>7550000</v>
      </c>
      <c r="O203" s="241"/>
      <c r="P203" s="249">
        <f>SUM(P195:P202)</f>
        <v>0</v>
      </c>
      <c r="Q203" s="241"/>
      <c r="R203" s="249">
        <f>SUM(R195:R202)</f>
        <v>0</v>
      </c>
      <c r="S203" s="241"/>
      <c r="T203" s="249">
        <f>SUM(T195:T202)</f>
        <v>0</v>
      </c>
      <c r="U203" s="241"/>
      <c r="V203" s="249">
        <f t="shared" si="41"/>
        <v>0</v>
      </c>
      <c r="W203" s="241"/>
      <c r="X203" s="249">
        <f>SUM(X195:X202)</f>
        <v>0</v>
      </c>
      <c r="Y203" s="241"/>
      <c r="Z203" s="249">
        <f>SUM(Z195:Z202)</f>
        <v>0</v>
      </c>
      <c r="AA203" s="241"/>
      <c r="AB203" s="249">
        <f>SUM(AB195:AB202)</f>
        <v>0</v>
      </c>
      <c r="AC203" s="241"/>
      <c r="AD203" s="249">
        <f t="shared" si="42"/>
        <v>0</v>
      </c>
      <c r="AE203" s="241"/>
      <c r="AF203" s="249">
        <f>SUM(AF195:AF202)</f>
        <v>0</v>
      </c>
      <c r="AG203" s="241"/>
      <c r="AH203" s="249">
        <f>SUM(AH195:AH202)</f>
        <v>0</v>
      </c>
      <c r="AI203" s="241"/>
      <c r="AJ203" s="249">
        <f>SUM(AJ195:AJ202)</f>
        <v>0</v>
      </c>
      <c r="AK203" s="241"/>
      <c r="AL203" s="250">
        <f t="shared" si="43"/>
        <v>0</v>
      </c>
      <c r="AM203" s="241"/>
      <c r="AN203" s="251">
        <f t="shared" si="39"/>
        <v>7550000</v>
      </c>
      <c r="AO203" s="241"/>
      <c r="AP203" s="28"/>
      <c r="AQ203" s="28"/>
      <c r="AR203" s="28"/>
      <c r="AS203" s="28"/>
    </row>
    <row r="204" spans="1:46" hidden="1">
      <c r="I204" s="241"/>
      <c r="K204" s="241"/>
      <c r="M204" s="241"/>
      <c r="O204" s="241"/>
      <c r="Q204" s="241"/>
      <c r="S204" s="241"/>
      <c r="U204" s="241"/>
      <c r="W204" s="241"/>
      <c r="Y204" s="241"/>
      <c r="AA204" s="241"/>
      <c r="AC204" s="241"/>
      <c r="AE204" s="241"/>
      <c r="AG204" s="241"/>
      <c r="AI204" s="241"/>
      <c r="AK204" s="241"/>
      <c r="AL204" s="211"/>
      <c r="AM204" s="241"/>
      <c r="AN204" s="252"/>
      <c r="AO204" s="241"/>
    </row>
    <row r="205" spans="1:46" hidden="1">
      <c r="F205" s="253"/>
      <c r="H205" s="254" t="s">
        <v>301</v>
      </c>
      <c r="I205" s="241"/>
      <c r="J205" s="254"/>
      <c r="K205" s="241"/>
      <c r="M205" s="241"/>
      <c r="O205" s="241"/>
      <c r="Q205" s="241"/>
      <c r="S205" s="241"/>
      <c r="U205" s="241"/>
      <c r="W205" s="241"/>
      <c r="Y205" s="241"/>
      <c r="AA205" s="241"/>
      <c r="AC205" s="241"/>
      <c r="AE205" s="241"/>
      <c r="AG205" s="241"/>
      <c r="AI205" s="241"/>
      <c r="AK205" s="241"/>
      <c r="AL205" s="211"/>
      <c r="AM205" s="241"/>
      <c r="AN205" s="252"/>
      <c r="AO205" s="241"/>
    </row>
    <row r="206" spans="1:46" s="5" customFormat="1" ht="20" hidden="1" customHeight="1" thickBot="1">
      <c r="B206" s="11"/>
      <c r="C206" s="11" t="s">
        <v>2</v>
      </c>
      <c r="D206" s="11" t="s">
        <v>3</v>
      </c>
      <c r="E206" s="12" t="s">
        <v>4</v>
      </c>
      <c r="F206" s="12" t="s">
        <v>5</v>
      </c>
      <c r="G206" s="13" t="s">
        <v>6</v>
      </c>
      <c r="H206" s="16" t="s">
        <v>7</v>
      </c>
      <c r="I206" s="241"/>
      <c r="J206" s="16" t="s">
        <v>8</v>
      </c>
      <c r="K206" s="241"/>
      <c r="L206" s="14" t="s">
        <v>9</v>
      </c>
      <c r="M206" s="241"/>
      <c r="N206" s="18" t="s">
        <v>10</v>
      </c>
      <c r="O206" s="241"/>
      <c r="P206" s="14" t="s">
        <v>12</v>
      </c>
      <c r="Q206" s="241"/>
      <c r="R206" s="14" t="s">
        <v>341</v>
      </c>
      <c r="S206" s="241"/>
      <c r="T206" s="14" t="s">
        <v>342</v>
      </c>
      <c r="U206" s="241"/>
      <c r="V206" s="18" t="s">
        <v>18</v>
      </c>
      <c r="W206" s="241"/>
      <c r="X206" s="14" t="s">
        <v>344</v>
      </c>
      <c r="Y206" s="241"/>
      <c r="Z206" s="14" t="s">
        <v>345</v>
      </c>
      <c r="AA206" s="241"/>
      <c r="AB206" s="14" t="s">
        <v>346</v>
      </c>
      <c r="AC206" s="241"/>
      <c r="AD206" s="18" t="s">
        <v>26</v>
      </c>
      <c r="AE206" s="241"/>
      <c r="AF206" s="14" t="s">
        <v>347</v>
      </c>
      <c r="AG206" s="241"/>
      <c r="AH206" s="14" t="s">
        <v>348</v>
      </c>
      <c r="AI206" s="241"/>
      <c r="AJ206" s="14" t="s">
        <v>32</v>
      </c>
      <c r="AK206" s="241"/>
      <c r="AL206" s="18" t="s">
        <v>34</v>
      </c>
      <c r="AM206" s="241"/>
      <c r="AN206" s="255" t="s">
        <v>462</v>
      </c>
      <c r="AO206" s="241"/>
      <c r="AP206" s="19"/>
    </row>
    <row r="207" spans="1:46" s="10" customFormat="1" ht="18" hidden="1" customHeight="1" thickTop="1">
      <c r="B207" s="86">
        <v>1</v>
      </c>
      <c r="C207" s="771" t="s">
        <v>302</v>
      </c>
      <c r="D207" s="769" t="s">
        <v>231</v>
      </c>
      <c r="E207" s="771" t="s">
        <v>302</v>
      </c>
      <c r="F207" s="256" t="s">
        <v>303</v>
      </c>
      <c r="G207" s="257" t="s">
        <v>645</v>
      </c>
      <c r="H207" s="415"/>
      <c r="I207" s="71"/>
      <c r="J207" s="415">
        <v>8985000</v>
      </c>
      <c r="K207" s="71"/>
      <c r="L207" s="416"/>
      <c r="M207" s="71"/>
      <c r="N207" s="91">
        <f>SUM(H207:L207)</f>
        <v>8985000</v>
      </c>
      <c r="O207" s="71"/>
      <c r="P207" s="416"/>
      <c r="Q207" s="71"/>
      <c r="R207" s="416"/>
      <c r="S207" s="71"/>
      <c r="T207" s="416"/>
      <c r="U207" s="71"/>
      <c r="V207" s="102">
        <f>SUM(P207:T207)</f>
        <v>0</v>
      </c>
      <c r="W207" s="71"/>
      <c r="X207" s="416"/>
      <c r="Y207" s="71"/>
      <c r="Z207" s="416"/>
      <c r="AA207" s="71"/>
      <c r="AB207" s="416"/>
      <c r="AC207" s="71"/>
      <c r="AD207" s="91">
        <f>SUM(X207:AB207)</f>
        <v>0</v>
      </c>
      <c r="AE207" s="71"/>
      <c r="AF207" s="416"/>
      <c r="AG207" s="71"/>
      <c r="AH207" s="416"/>
      <c r="AI207" s="71"/>
      <c r="AJ207" s="416"/>
      <c r="AK207" s="71"/>
      <c r="AL207" s="91">
        <f>SUM(AF207:AJ207)</f>
        <v>0</v>
      </c>
      <c r="AM207" s="71"/>
      <c r="AN207" s="258">
        <f>SUM(AD207,V207,N207+AL207)</f>
        <v>8985000</v>
      </c>
      <c r="AO207" s="71"/>
      <c r="AP207" s="28"/>
      <c r="AQ207" s="28"/>
    </row>
    <row r="208" spans="1:46" s="10" customFormat="1" ht="18" hidden="1" customHeight="1">
      <c r="B208" s="86"/>
      <c r="C208" s="772"/>
      <c r="D208" s="770"/>
      <c r="E208" s="772"/>
      <c r="F208" s="256" t="s">
        <v>305</v>
      </c>
      <c r="G208" s="257" t="s">
        <v>644</v>
      </c>
      <c r="H208" s="415"/>
      <c r="I208" s="71"/>
      <c r="J208" s="415"/>
      <c r="K208" s="71"/>
      <c r="L208" s="416"/>
      <c r="M208" s="71"/>
      <c r="N208" s="91">
        <f t="shared" ref="N208:N212" si="44">SUM(H208:L208)</f>
        <v>0</v>
      </c>
      <c r="O208" s="71"/>
      <c r="P208" s="416"/>
      <c r="Q208" s="71"/>
      <c r="R208" s="416"/>
      <c r="S208" s="71"/>
      <c r="T208" s="416"/>
      <c r="U208" s="71"/>
      <c r="V208" s="102">
        <f t="shared" ref="V208:V214" si="45">SUM(P208:T208)</f>
        <v>0</v>
      </c>
      <c r="W208" s="71"/>
      <c r="X208" s="416"/>
      <c r="Y208" s="71"/>
      <c r="Z208" s="416"/>
      <c r="AA208" s="71"/>
      <c r="AB208" s="416"/>
      <c r="AC208" s="71"/>
      <c r="AD208" s="91">
        <f t="shared" ref="AD208:AD215" si="46">SUM(X208:AB208)</f>
        <v>0</v>
      </c>
      <c r="AE208" s="71"/>
      <c r="AF208" s="416"/>
      <c r="AG208" s="71"/>
      <c r="AH208" s="416"/>
      <c r="AI208" s="71"/>
      <c r="AJ208" s="416"/>
      <c r="AK208" s="71"/>
      <c r="AL208" s="91">
        <f t="shared" ref="AL208:AL215" si="47">SUM(AF208:AJ208)</f>
        <v>0</v>
      </c>
      <c r="AM208" s="71"/>
      <c r="AN208" s="258">
        <f>SUM(AD208,V208,N208+AL208)</f>
        <v>0</v>
      </c>
      <c r="AO208" s="71"/>
      <c r="AP208" s="28"/>
      <c r="AQ208" s="28"/>
    </row>
    <row r="209" spans="1:46" s="10" customFormat="1" ht="18" hidden="1" customHeight="1">
      <c r="A209" s="5"/>
      <c r="B209" s="86"/>
      <c r="C209" s="772"/>
      <c r="D209" s="259"/>
      <c r="E209" s="259"/>
      <c r="F209" s="144" t="s">
        <v>209</v>
      </c>
      <c r="G209" s="145" t="s">
        <v>306</v>
      </c>
      <c r="H209" s="30"/>
      <c r="I209" s="27"/>
      <c r="J209" s="30"/>
      <c r="K209" s="27"/>
      <c r="L209" s="32"/>
      <c r="M209" s="27"/>
      <c r="N209" s="91">
        <f t="shared" si="44"/>
        <v>0</v>
      </c>
      <c r="O209" s="27"/>
      <c r="P209" s="32"/>
      <c r="Q209" s="27"/>
      <c r="R209" s="32"/>
      <c r="S209" s="27"/>
      <c r="T209" s="32"/>
      <c r="U209" s="27"/>
      <c r="V209" s="102">
        <f t="shared" si="45"/>
        <v>0</v>
      </c>
      <c r="W209" s="27"/>
      <c r="X209" s="32"/>
      <c r="Y209" s="27"/>
      <c r="Z209" s="32"/>
      <c r="AA209" s="27"/>
      <c r="AB209" s="32"/>
      <c r="AC209" s="27"/>
      <c r="AD209" s="91">
        <f t="shared" si="46"/>
        <v>0</v>
      </c>
      <c r="AE209" s="27"/>
      <c r="AF209" s="32"/>
      <c r="AG209" s="27"/>
      <c r="AH209" s="32"/>
      <c r="AI209" s="27"/>
      <c r="AJ209" s="32"/>
      <c r="AK209" s="71"/>
      <c r="AL209" s="91">
        <f t="shared" si="47"/>
        <v>0</v>
      </c>
      <c r="AM209" s="27"/>
      <c r="AN209" s="65">
        <f>SUM(N209+V209+AD209+AL209)</f>
        <v>0</v>
      </c>
      <c r="AO209" s="146"/>
      <c r="AP209" s="28"/>
      <c r="AQ209" s="28"/>
      <c r="AR209" s="28"/>
      <c r="AS209" s="28"/>
    </row>
    <row r="210" spans="1:46" s="10" customFormat="1" ht="18" hidden="1" customHeight="1">
      <c r="A210" s="5"/>
      <c r="B210" s="86"/>
      <c r="C210" s="772"/>
      <c r="D210" s="259"/>
      <c r="E210" s="259"/>
      <c r="F210" s="144" t="s">
        <v>202</v>
      </c>
      <c r="G210" s="145" t="s">
        <v>597</v>
      </c>
      <c r="H210" s="30"/>
      <c r="I210" s="27"/>
      <c r="J210" s="767">
        <v>652500</v>
      </c>
      <c r="K210" s="27"/>
      <c r="L210" s="32"/>
      <c r="M210" s="27"/>
      <c r="N210" s="91">
        <f t="shared" si="44"/>
        <v>652500</v>
      </c>
      <c r="O210" s="27"/>
      <c r="P210" s="32"/>
      <c r="Q210" s="27"/>
      <c r="R210" s="32"/>
      <c r="S210" s="27"/>
      <c r="T210" s="32"/>
      <c r="U210" s="27"/>
      <c r="V210" s="102">
        <f t="shared" si="45"/>
        <v>0</v>
      </c>
      <c r="W210" s="27"/>
      <c r="X210" s="32"/>
      <c r="Y210" s="27"/>
      <c r="Z210" s="32"/>
      <c r="AA210" s="27"/>
      <c r="AB210" s="32"/>
      <c r="AC210" s="27"/>
      <c r="AD210" s="91">
        <f t="shared" si="46"/>
        <v>0</v>
      </c>
      <c r="AE210" s="27"/>
      <c r="AF210" s="32"/>
      <c r="AG210" s="27"/>
      <c r="AH210" s="32"/>
      <c r="AI210" s="27"/>
      <c r="AJ210" s="32"/>
      <c r="AK210" s="71"/>
      <c r="AL210" s="91">
        <f t="shared" si="47"/>
        <v>0</v>
      </c>
      <c r="AM210" s="27"/>
      <c r="AN210" s="65">
        <f>SUM(N210+V210+AD210+AL210)</f>
        <v>652500</v>
      </c>
      <c r="AO210" s="146"/>
      <c r="AP210" s="28"/>
      <c r="AQ210" s="28"/>
      <c r="AR210" s="28"/>
      <c r="AS210" s="28"/>
    </row>
    <row r="211" spans="1:46" s="10" customFormat="1" ht="18" hidden="1" customHeight="1">
      <c r="A211" s="5"/>
      <c r="B211" s="86"/>
      <c r="C211" s="772"/>
      <c r="D211" s="259"/>
      <c r="E211" s="259"/>
      <c r="F211" s="144" t="s">
        <v>307</v>
      </c>
      <c r="G211" s="145" t="s">
        <v>308</v>
      </c>
      <c r="H211" s="767">
        <v>1150000</v>
      </c>
      <c r="I211" s="27"/>
      <c r="J211" s="30"/>
      <c r="K211" s="27"/>
      <c r="L211" s="32"/>
      <c r="M211" s="27"/>
      <c r="N211" s="91">
        <f t="shared" si="44"/>
        <v>1150000</v>
      </c>
      <c r="O211" s="27"/>
      <c r="P211" s="32"/>
      <c r="Q211" s="27"/>
      <c r="R211" s="32"/>
      <c r="S211" s="27"/>
      <c r="T211" s="32"/>
      <c r="U211" s="27"/>
      <c r="V211" s="102">
        <f t="shared" si="45"/>
        <v>0</v>
      </c>
      <c r="W211" s="27"/>
      <c r="X211" s="32"/>
      <c r="Y211" s="27"/>
      <c r="Z211" s="32"/>
      <c r="AA211" s="27"/>
      <c r="AB211" s="32"/>
      <c r="AC211" s="27"/>
      <c r="AD211" s="91">
        <f t="shared" si="46"/>
        <v>0</v>
      </c>
      <c r="AE211" s="27"/>
      <c r="AF211" s="32"/>
      <c r="AG211" s="27"/>
      <c r="AH211" s="32"/>
      <c r="AI211" s="27"/>
      <c r="AJ211" s="32"/>
      <c r="AK211" s="260"/>
      <c r="AL211" s="91">
        <f t="shared" si="47"/>
        <v>0</v>
      </c>
      <c r="AM211" s="27"/>
      <c r="AN211" s="65">
        <f t="shared" ref="AN211:AN217" si="48">SUM(N211+V211+AD211+AL211)</f>
        <v>1150000</v>
      </c>
      <c r="AO211" s="146"/>
      <c r="AP211" s="28"/>
      <c r="AQ211" s="28"/>
      <c r="AR211" s="28"/>
      <c r="AS211" s="28"/>
    </row>
    <row r="212" spans="1:46" s="10" customFormat="1" ht="18" hidden="1" customHeight="1">
      <c r="A212" s="5"/>
      <c r="B212" s="86"/>
      <c r="C212" s="772"/>
      <c r="D212" s="259"/>
      <c r="E212" s="259"/>
      <c r="F212" s="144" t="s">
        <v>309</v>
      </c>
      <c r="G212" s="145" t="s">
        <v>310</v>
      </c>
      <c r="H212" s="30"/>
      <c r="I212" s="27"/>
      <c r="J212" s="30"/>
      <c r="K212" s="27"/>
      <c r="L212" s="32"/>
      <c r="M212" s="27"/>
      <c r="N212" s="91">
        <f t="shared" si="44"/>
        <v>0</v>
      </c>
      <c r="O212" s="27"/>
      <c r="P212" s="32"/>
      <c r="Q212" s="27"/>
      <c r="R212" s="32"/>
      <c r="S212" s="27"/>
      <c r="T212" s="32"/>
      <c r="U212" s="27"/>
      <c r="V212" s="102">
        <f t="shared" si="45"/>
        <v>0</v>
      </c>
      <c r="W212" s="27"/>
      <c r="X212" s="32"/>
      <c r="Y212" s="27"/>
      <c r="Z212" s="32"/>
      <c r="AA212" s="27"/>
      <c r="AB212" s="32"/>
      <c r="AC212" s="27"/>
      <c r="AD212" s="91">
        <f t="shared" si="46"/>
        <v>0</v>
      </c>
      <c r="AE212" s="27"/>
      <c r="AF212" s="32"/>
      <c r="AG212" s="27"/>
      <c r="AH212" s="32"/>
      <c r="AI212" s="27"/>
      <c r="AJ212" s="32"/>
      <c r="AK212" s="260"/>
      <c r="AL212" s="91">
        <f t="shared" si="47"/>
        <v>0</v>
      </c>
      <c r="AM212" s="27"/>
      <c r="AN212" s="65">
        <f t="shared" si="48"/>
        <v>0</v>
      </c>
      <c r="AO212" s="146"/>
      <c r="AP212" s="28"/>
      <c r="AQ212" s="28"/>
      <c r="AR212" s="28"/>
      <c r="AS212" s="28"/>
    </row>
    <row r="213" spans="1:46" s="10" customFormat="1" ht="18" hidden="1" customHeight="1">
      <c r="A213" s="5"/>
      <c r="B213" s="86">
        <v>3</v>
      </c>
      <c r="C213" s="772"/>
      <c r="D213" s="829"/>
      <c r="E213" s="829"/>
      <c r="F213" s="139" t="s">
        <v>311</v>
      </c>
      <c r="G213" s="261" t="s">
        <v>312</v>
      </c>
      <c r="H213" s="30"/>
      <c r="I213" s="71"/>
      <c r="J213" s="30">
        <v>396750</v>
      </c>
      <c r="K213" s="71"/>
      <c r="L213" s="32"/>
      <c r="M213" s="71"/>
      <c r="N213" s="91">
        <f>SUM(H213:L213)</f>
        <v>396750</v>
      </c>
      <c r="O213" s="71"/>
      <c r="P213" s="32"/>
      <c r="Q213" s="71"/>
      <c r="R213" s="32"/>
      <c r="S213" s="71"/>
      <c r="T213" s="32"/>
      <c r="U213" s="71"/>
      <c r="V213" s="102">
        <f t="shared" si="45"/>
        <v>0</v>
      </c>
      <c r="W213" s="71"/>
      <c r="X213" s="32"/>
      <c r="Y213" s="71"/>
      <c r="Z213" s="32"/>
      <c r="AA213" s="71"/>
      <c r="AB213" s="32"/>
      <c r="AC213" s="71"/>
      <c r="AD213" s="91">
        <f t="shared" si="46"/>
        <v>0</v>
      </c>
      <c r="AE213" s="71"/>
      <c r="AF213" s="32"/>
      <c r="AG213" s="71"/>
      <c r="AH213" s="32"/>
      <c r="AI213" s="71"/>
      <c r="AJ213" s="32"/>
      <c r="AK213" s="71"/>
      <c r="AL213" s="91">
        <f t="shared" si="47"/>
        <v>0</v>
      </c>
      <c r="AM213" s="71"/>
      <c r="AN213" s="65">
        <f t="shared" si="48"/>
        <v>396750</v>
      </c>
      <c r="AO213" s="71"/>
      <c r="AP213" s="28"/>
      <c r="AQ213" s="28"/>
      <c r="AR213" s="28"/>
      <c r="AS213" s="28"/>
    </row>
    <row r="214" spans="1:46" s="10" customFormat="1" ht="18" hidden="1" customHeight="1">
      <c r="A214" s="5"/>
      <c r="B214" s="86">
        <v>4</v>
      </c>
      <c r="C214" s="772"/>
      <c r="D214" s="830"/>
      <c r="E214" s="830"/>
      <c r="F214" s="139" t="s">
        <v>313</v>
      </c>
      <c r="G214" s="261" t="s">
        <v>314</v>
      </c>
      <c r="H214" s="30"/>
      <c r="I214" s="71"/>
      <c r="J214" s="30">
        <v>960000</v>
      </c>
      <c r="K214" s="71"/>
      <c r="L214" s="32"/>
      <c r="M214" s="71"/>
      <c r="N214" s="91">
        <f>SUM(H214:L214)</f>
        <v>960000</v>
      </c>
      <c r="O214" s="71"/>
      <c r="P214" s="32"/>
      <c r="Q214" s="71"/>
      <c r="R214" s="32"/>
      <c r="S214" s="71"/>
      <c r="T214" s="32"/>
      <c r="U214" s="71"/>
      <c r="V214" s="102">
        <f t="shared" si="45"/>
        <v>0</v>
      </c>
      <c r="W214" s="71"/>
      <c r="X214" s="32"/>
      <c r="Y214" s="71"/>
      <c r="Z214" s="32"/>
      <c r="AA214" s="71"/>
      <c r="AB214" s="32"/>
      <c r="AC214" s="71"/>
      <c r="AD214" s="91">
        <f t="shared" si="46"/>
        <v>0</v>
      </c>
      <c r="AE214" s="71"/>
      <c r="AF214" s="32"/>
      <c r="AG214" s="71"/>
      <c r="AH214" s="32"/>
      <c r="AI214" s="71"/>
      <c r="AJ214" s="32"/>
      <c r="AK214" s="71"/>
      <c r="AL214" s="91">
        <f t="shared" si="47"/>
        <v>0</v>
      </c>
      <c r="AM214" s="71"/>
      <c r="AN214" s="65">
        <f t="shared" si="48"/>
        <v>960000</v>
      </c>
      <c r="AO214" s="71"/>
      <c r="AP214" s="28"/>
      <c r="AQ214" s="28"/>
      <c r="AR214" s="28"/>
      <c r="AS214" s="28"/>
    </row>
    <row r="215" spans="1:46" s="265" customFormat="1" ht="18" hidden="1" customHeight="1">
      <c r="A215" s="262"/>
      <c r="B215" s="263">
        <v>49</v>
      </c>
      <c r="C215" s="772"/>
      <c r="D215" s="139" t="s">
        <v>95</v>
      </c>
      <c r="E215" s="139" t="s">
        <v>95</v>
      </c>
      <c r="F215" s="412" t="s">
        <v>222</v>
      </c>
      <c r="G215" s="97" t="s">
        <v>315</v>
      </c>
      <c r="H215" s="417"/>
      <c r="I215" s="413"/>
      <c r="J215" s="417"/>
      <c r="K215" s="413"/>
      <c r="L215" s="418"/>
      <c r="M215" s="413"/>
      <c r="N215" s="91">
        <f>SUM(H215:L215)</f>
        <v>0</v>
      </c>
      <c r="O215" s="413"/>
      <c r="P215" s="418"/>
      <c r="Q215" s="413"/>
      <c r="R215" s="418"/>
      <c r="S215" s="413"/>
      <c r="T215" s="418"/>
      <c r="U215" s="413"/>
      <c r="V215" s="91">
        <f>SUM(P215:T215)</f>
        <v>0</v>
      </c>
      <c r="W215" s="413"/>
      <c r="X215" s="418"/>
      <c r="Y215" s="413"/>
      <c r="Z215" s="418"/>
      <c r="AA215" s="413"/>
      <c r="AB215" s="418"/>
      <c r="AC215" s="413"/>
      <c r="AD215" s="91">
        <f t="shared" si="46"/>
        <v>0</v>
      </c>
      <c r="AE215" s="413"/>
      <c r="AF215" s="418"/>
      <c r="AG215" s="413"/>
      <c r="AH215" s="418"/>
      <c r="AI215" s="413"/>
      <c r="AJ215" s="418"/>
      <c r="AK215" s="413"/>
      <c r="AL215" s="91">
        <f t="shared" si="47"/>
        <v>0</v>
      </c>
      <c r="AM215" s="413"/>
      <c r="AN215" s="414">
        <f t="shared" si="48"/>
        <v>0</v>
      </c>
      <c r="AO215" s="71"/>
      <c r="AP215" s="264"/>
      <c r="AQ215" s="264"/>
      <c r="AR215" s="264"/>
      <c r="AS215" s="264"/>
      <c r="AT215" s="264"/>
    </row>
    <row r="216" spans="1:46" s="10" customFormat="1" ht="18" hidden="1" customHeight="1">
      <c r="A216" s="5"/>
      <c r="B216" s="86"/>
      <c r="C216" s="98"/>
      <c r="D216" s="104" t="s">
        <v>95</v>
      </c>
      <c r="E216" s="104" t="s">
        <v>95</v>
      </c>
      <c r="F216" s="534" t="s">
        <v>516</v>
      </c>
      <c r="G216" s="133" t="s">
        <v>517</v>
      </c>
      <c r="H216" s="30">
        <v>16836110</v>
      </c>
      <c r="I216" s="71"/>
      <c r="J216" s="30">
        <v>0</v>
      </c>
      <c r="K216" s="71"/>
      <c r="L216" s="32"/>
      <c r="M216" s="71"/>
      <c r="N216" s="91">
        <f>SUM(H216,J216,L216)</f>
        <v>16836110</v>
      </c>
      <c r="O216" s="71"/>
      <c r="P216" s="32"/>
      <c r="Q216" s="71"/>
      <c r="R216" s="32"/>
      <c r="S216" s="71"/>
      <c r="T216" s="32"/>
      <c r="U216" s="71"/>
      <c r="V216" s="102">
        <f>SUM(P216,R216,T216)</f>
        <v>0</v>
      </c>
      <c r="W216" s="71"/>
      <c r="X216" s="32"/>
      <c r="Y216" s="71"/>
      <c r="Z216" s="32"/>
      <c r="AA216" s="71"/>
      <c r="AB216" s="32"/>
      <c r="AC216" s="71"/>
      <c r="AD216" s="91">
        <f>SUM(X216,Z216,AB216)</f>
        <v>0</v>
      </c>
      <c r="AE216" s="71"/>
      <c r="AF216" s="32"/>
      <c r="AG216" s="71"/>
      <c r="AH216" s="32"/>
      <c r="AI216" s="71"/>
      <c r="AJ216" s="32"/>
      <c r="AK216" s="71"/>
      <c r="AL216" s="91">
        <f>SUM(AF216,AH216,AJ216)</f>
        <v>0</v>
      </c>
      <c r="AM216" s="71"/>
      <c r="AN216" s="65">
        <f t="shared" si="48"/>
        <v>16836110</v>
      </c>
      <c r="AO216" s="71"/>
      <c r="AP216" s="28"/>
      <c r="AQ216" s="28"/>
      <c r="AR216" s="28"/>
      <c r="AS216" s="28"/>
      <c r="AT216" s="28"/>
    </row>
    <row r="217" spans="1:46" s="265" customFormat="1" ht="18" hidden="1" customHeight="1">
      <c r="A217" s="262"/>
      <c r="B217" s="263">
        <v>50</v>
      </c>
      <c r="C217" s="432"/>
      <c r="D217" s="139"/>
      <c r="E217" s="139"/>
      <c r="F217" s="412" t="s">
        <v>303</v>
      </c>
      <c r="G217" s="97" t="s">
        <v>316</v>
      </c>
      <c r="H217" s="417"/>
      <c r="I217" s="413"/>
      <c r="J217" s="417"/>
      <c r="K217" s="413"/>
      <c r="L217" s="418"/>
      <c r="M217" s="413"/>
      <c r="N217" s="91">
        <f>SUM(H217:L217)</f>
        <v>0</v>
      </c>
      <c r="O217" s="413"/>
      <c r="P217" s="418"/>
      <c r="Q217" s="413"/>
      <c r="R217" s="418"/>
      <c r="S217" s="413"/>
      <c r="T217" s="418"/>
      <c r="U217" s="413"/>
      <c r="V217" s="91">
        <f>SUM(P217:T217)</f>
        <v>0</v>
      </c>
      <c r="W217" s="413"/>
      <c r="X217" s="418"/>
      <c r="Y217" s="413"/>
      <c r="Z217" s="418"/>
      <c r="AA217" s="413"/>
      <c r="AB217" s="418"/>
      <c r="AC217" s="413"/>
      <c r="AD217" s="91">
        <f>SUM(X217:AB217)</f>
        <v>0</v>
      </c>
      <c r="AE217" s="413"/>
      <c r="AF217" s="418"/>
      <c r="AG217" s="413"/>
      <c r="AH217" s="418"/>
      <c r="AI217" s="413"/>
      <c r="AJ217" s="418"/>
      <c r="AK217" s="413"/>
      <c r="AL217" s="91">
        <f>SUM(AF217:AJ217)</f>
        <v>0</v>
      </c>
      <c r="AM217" s="413"/>
      <c r="AN217" s="414">
        <f t="shared" si="48"/>
        <v>0</v>
      </c>
      <c r="AO217" s="71"/>
      <c r="AP217" s="264"/>
      <c r="AQ217" s="264"/>
      <c r="AR217" s="264"/>
      <c r="AS217" s="264"/>
      <c r="AT217" s="264"/>
    </row>
    <row r="218" spans="1:46" hidden="1">
      <c r="I218" s="266"/>
      <c r="K218" s="266"/>
      <c r="M218" s="266"/>
      <c r="O218" s="266"/>
      <c r="Q218" s="266"/>
      <c r="S218" s="266"/>
      <c r="U218" s="266"/>
      <c r="Y218" s="266"/>
      <c r="AA218" s="266"/>
      <c r="AC218" s="266"/>
      <c r="AL218" s="211"/>
      <c r="AN218" s="267">
        <f>SUM(AN207:AN217)</f>
        <v>28980360</v>
      </c>
      <c r="AO218" s="211"/>
      <c r="AP218" s="268"/>
      <c r="AQ218" s="266"/>
      <c r="AR218" s="217"/>
    </row>
    <row r="219" spans="1:46" hidden="1">
      <c r="I219" s="269"/>
      <c r="K219" s="269"/>
      <c r="M219" s="269"/>
      <c r="O219" s="269"/>
      <c r="Q219" s="269"/>
      <c r="S219" s="269"/>
      <c r="U219" s="269"/>
      <c r="Y219" s="269"/>
      <c r="AA219" s="269"/>
      <c r="AC219" s="269"/>
      <c r="AL219" s="211"/>
      <c r="AO219" s="269"/>
      <c r="AP219" s="211"/>
      <c r="AQ219" s="268"/>
      <c r="AR219" s="269"/>
      <c r="AS219" s="217"/>
    </row>
    <row r="220" spans="1:46" ht="20" hidden="1">
      <c r="I220" s="269"/>
      <c r="K220" s="269"/>
      <c r="M220" s="269"/>
      <c r="O220" s="269"/>
      <c r="Q220" s="269"/>
      <c r="S220" s="269"/>
      <c r="U220" s="269"/>
      <c r="Y220" s="269"/>
      <c r="AA220" s="269"/>
      <c r="AC220" s="269"/>
      <c r="AL220" s="211"/>
      <c r="AO220" s="269"/>
      <c r="AP220" s="211"/>
      <c r="AQ220" s="270"/>
      <c r="AR220" s="269"/>
      <c r="AS220" s="217"/>
    </row>
    <row r="221" spans="1:46" hidden="1">
      <c r="L221" s="271"/>
      <c r="P221" s="271"/>
      <c r="R221" s="271"/>
      <c r="T221" s="271"/>
      <c r="X221" s="271"/>
      <c r="Z221" s="271"/>
      <c r="AB221" s="271"/>
      <c r="AF221" s="271"/>
      <c r="AH221" s="271"/>
      <c r="AJ221" s="271"/>
      <c r="AM221" s="272"/>
      <c r="AO221" s="211"/>
      <c r="AP221" s="272"/>
      <c r="AQ221" s="217"/>
    </row>
    <row r="222" spans="1:46" hidden="1">
      <c r="L222" s="271"/>
      <c r="P222" s="271"/>
      <c r="R222" s="271"/>
      <c r="T222" s="271"/>
      <c r="X222" s="271"/>
      <c r="Z222" s="271"/>
      <c r="AB222" s="271"/>
      <c r="AF222" s="271"/>
      <c r="AH222" s="271"/>
      <c r="AJ222" s="271"/>
    </row>
    <row r="223" spans="1:46" ht="18">
      <c r="F223" s="273" t="s">
        <v>317</v>
      </c>
      <c r="G223" s="274"/>
      <c r="H223" s="274"/>
      <c r="I223" s="274"/>
      <c r="L223" s="271"/>
      <c r="P223" s="271"/>
      <c r="R223" s="271"/>
      <c r="T223" s="271"/>
      <c r="X223" s="271"/>
      <c r="Z223" s="271"/>
      <c r="AB223" s="271"/>
      <c r="AF223" s="271"/>
      <c r="AH223" s="271"/>
      <c r="AJ223" s="271"/>
    </row>
    <row r="224" spans="1:46">
      <c r="L224" s="271"/>
      <c r="P224" s="271"/>
      <c r="R224" s="271"/>
      <c r="T224" s="271"/>
      <c r="X224" s="271"/>
      <c r="Z224" s="271"/>
      <c r="AB224" s="271"/>
      <c r="AF224" s="271"/>
      <c r="AH224" s="271"/>
      <c r="AJ224" s="271"/>
    </row>
    <row r="225" spans="1:46">
      <c r="L225" s="271"/>
      <c r="P225" s="271"/>
      <c r="R225" s="271"/>
      <c r="T225" s="271"/>
      <c r="X225" s="271"/>
      <c r="Z225" s="271"/>
      <c r="AB225" s="271"/>
      <c r="AF225" s="271"/>
      <c r="AH225" s="271"/>
      <c r="AJ225" s="271"/>
    </row>
    <row r="226" spans="1:46">
      <c r="C226" s="275"/>
      <c r="L226" s="271"/>
      <c r="P226" s="271"/>
      <c r="R226" s="271"/>
      <c r="T226" s="271"/>
      <c r="X226" s="271"/>
      <c r="Z226" s="271"/>
      <c r="AB226" s="271"/>
      <c r="AF226" s="271"/>
      <c r="AH226" s="271"/>
      <c r="AJ226" s="271"/>
    </row>
    <row r="227" spans="1:46" s="212" customFormat="1">
      <c r="A227" s="211"/>
      <c r="B227" s="211"/>
      <c r="C227" s="275"/>
      <c r="F227" s="211"/>
      <c r="G227" s="211"/>
      <c r="H227" s="211"/>
      <c r="I227" s="272"/>
      <c r="J227" s="211"/>
      <c r="K227" s="272"/>
      <c r="L227" s="271"/>
      <c r="M227" s="272"/>
      <c r="N227" s="211"/>
      <c r="O227" s="272"/>
      <c r="P227" s="271"/>
      <c r="Q227" s="272"/>
      <c r="R227" s="271"/>
      <c r="S227" s="272"/>
      <c r="T227" s="271"/>
      <c r="U227" s="272"/>
      <c r="V227" s="211"/>
      <c r="W227" s="211"/>
      <c r="X227" s="271"/>
      <c r="Y227" s="211"/>
      <c r="Z227" s="271"/>
      <c r="AA227" s="211"/>
      <c r="AB227" s="271"/>
      <c r="AC227" s="211"/>
      <c r="AD227" s="211"/>
      <c r="AE227" s="211"/>
      <c r="AF227" s="271"/>
      <c r="AG227" s="211"/>
      <c r="AH227" s="271"/>
      <c r="AI227" s="211"/>
      <c r="AJ227" s="271"/>
      <c r="AK227" s="211"/>
      <c r="AL227" s="272"/>
      <c r="AM227" s="211"/>
      <c r="AN227" s="211"/>
      <c r="AO227" s="272"/>
      <c r="AP227" s="217"/>
      <c r="AQ227" s="211"/>
      <c r="AR227" s="211"/>
      <c r="AS227" s="211"/>
      <c r="AT227" s="211"/>
    </row>
    <row r="228" spans="1:46" s="212" customFormat="1">
      <c r="A228" s="211"/>
      <c r="B228" s="211"/>
      <c r="C228" s="275"/>
      <c r="F228" s="211"/>
      <c r="G228" s="211"/>
      <c r="H228" s="211"/>
      <c r="I228" s="272"/>
      <c r="J228" s="211"/>
      <c r="K228" s="272"/>
      <c r="L228" s="271"/>
      <c r="M228" s="272"/>
      <c r="N228" s="211"/>
      <c r="O228" s="272"/>
      <c r="P228" s="271"/>
      <c r="Q228" s="272"/>
      <c r="R228" s="271"/>
      <c r="S228" s="272"/>
      <c r="T228" s="271"/>
      <c r="U228" s="272"/>
      <c r="V228" s="211"/>
      <c r="W228" s="211"/>
      <c r="X228" s="271"/>
      <c r="Y228" s="211"/>
      <c r="Z228" s="271"/>
      <c r="AA228" s="211"/>
      <c r="AB228" s="271"/>
      <c r="AC228" s="211"/>
      <c r="AD228" s="211"/>
      <c r="AE228" s="211"/>
      <c r="AF228" s="271"/>
      <c r="AG228" s="211"/>
      <c r="AH228" s="271"/>
      <c r="AI228" s="211"/>
      <c r="AJ228" s="271"/>
      <c r="AK228" s="211"/>
      <c r="AL228" s="272"/>
      <c r="AM228" s="211"/>
      <c r="AN228" s="211"/>
      <c r="AO228" s="272"/>
      <c r="AP228" s="217"/>
      <c r="AQ228" s="211"/>
      <c r="AR228" s="211"/>
      <c r="AS228" s="211"/>
      <c r="AT228" s="211"/>
    </row>
    <row r="229" spans="1:46" s="212" customFormat="1">
      <c r="A229" s="211"/>
      <c r="B229" s="211"/>
      <c r="C229" s="275"/>
      <c r="F229" s="211"/>
      <c r="G229" s="211"/>
      <c r="H229" s="211"/>
      <c r="I229" s="272"/>
      <c r="J229" s="211"/>
      <c r="K229" s="272"/>
      <c r="L229" s="271"/>
      <c r="M229" s="272"/>
      <c r="N229" s="211"/>
      <c r="O229" s="272"/>
      <c r="P229" s="271"/>
      <c r="Q229" s="272"/>
      <c r="R229" s="271"/>
      <c r="S229" s="272"/>
      <c r="T229" s="271"/>
      <c r="U229" s="272"/>
      <c r="V229" s="211"/>
      <c r="W229" s="211"/>
      <c r="X229" s="271"/>
      <c r="Y229" s="211"/>
      <c r="Z229" s="271"/>
      <c r="AA229" s="211"/>
      <c r="AB229" s="271"/>
      <c r="AC229" s="211"/>
      <c r="AD229" s="211"/>
      <c r="AE229" s="211"/>
      <c r="AF229" s="271"/>
      <c r="AG229" s="211"/>
      <c r="AH229" s="271"/>
      <c r="AI229" s="211"/>
      <c r="AJ229" s="271"/>
      <c r="AK229" s="211"/>
      <c r="AL229" s="272"/>
      <c r="AM229" s="211"/>
      <c r="AN229" s="211"/>
      <c r="AO229" s="272"/>
      <c r="AP229" s="217"/>
      <c r="AQ229" s="211"/>
      <c r="AR229" s="211"/>
      <c r="AS229" s="211"/>
      <c r="AT229" s="211"/>
    </row>
    <row r="230" spans="1:46" s="212" customFormat="1">
      <c r="A230" s="211"/>
      <c r="B230" s="211"/>
      <c r="C230" s="275"/>
      <c r="F230" s="211"/>
      <c r="G230" s="211"/>
      <c r="H230" s="211"/>
      <c r="I230" s="272"/>
      <c r="J230" s="211"/>
      <c r="K230" s="272"/>
      <c r="L230" s="271"/>
      <c r="M230" s="272"/>
      <c r="N230" s="211"/>
      <c r="O230" s="272"/>
      <c r="P230" s="271"/>
      <c r="Q230" s="272"/>
      <c r="R230" s="271"/>
      <c r="S230" s="272"/>
      <c r="T230" s="271"/>
      <c r="U230" s="272"/>
      <c r="V230" s="211"/>
      <c r="W230" s="211"/>
      <c r="X230" s="271"/>
      <c r="Y230" s="211"/>
      <c r="Z230" s="271"/>
      <c r="AA230" s="211"/>
      <c r="AB230" s="271"/>
      <c r="AC230" s="211"/>
      <c r="AD230" s="211"/>
      <c r="AE230" s="211"/>
      <c r="AF230" s="271"/>
      <c r="AG230" s="211"/>
      <c r="AH230" s="271"/>
      <c r="AI230" s="211"/>
      <c r="AJ230" s="271"/>
      <c r="AK230" s="211"/>
      <c r="AL230" s="272"/>
      <c r="AM230" s="211"/>
      <c r="AN230" s="211"/>
      <c r="AO230" s="272"/>
      <c r="AP230" s="217"/>
      <c r="AQ230" s="211"/>
      <c r="AR230" s="211"/>
      <c r="AS230" s="211"/>
      <c r="AT230" s="211"/>
    </row>
    <row r="231" spans="1:46" s="212" customFormat="1">
      <c r="A231" s="211"/>
      <c r="B231" s="211"/>
      <c r="C231" s="275"/>
      <c r="F231" s="211"/>
      <c r="G231" s="211"/>
      <c r="H231" s="211"/>
      <c r="I231" s="272"/>
      <c r="J231" s="211"/>
      <c r="K231" s="272"/>
      <c r="L231" s="271"/>
      <c r="M231" s="272"/>
      <c r="N231" s="211"/>
      <c r="O231" s="272"/>
      <c r="P231" s="271"/>
      <c r="Q231" s="272"/>
      <c r="R231" s="271"/>
      <c r="S231" s="272"/>
      <c r="T231" s="271"/>
      <c r="U231" s="272"/>
      <c r="V231" s="211"/>
      <c r="W231" s="211"/>
      <c r="X231" s="271"/>
      <c r="Y231" s="211"/>
      <c r="Z231" s="271"/>
      <c r="AA231" s="211"/>
      <c r="AB231" s="271"/>
      <c r="AC231" s="211"/>
      <c r="AD231" s="211"/>
      <c r="AE231" s="211"/>
      <c r="AF231" s="271"/>
      <c r="AG231" s="211"/>
      <c r="AH231" s="271"/>
      <c r="AI231" s="211"/>
      <c r="AJ231" s="271"/>
      <c r="AK231" s="211"/>
      <c r="AL231" s="272"/>
      <c r="AM231" s="211"/>
      <c r="AN231" s="211"/>
      <c r="AO231" s="272"/>
      <c r="AP231" s="217"/>
      <c r="AQ231" s="211"/>
      <c r="AR231" s="211"/>
      <c r="AS231" s="211"/>
      <c r="AT231" s="211"/>
    </row>
    <row r="232" spans="1:46" s="212" customFormat="1">
      <c r="A232" s="211"/>
      <c r="B232" s="211"/>
      <c r="C232" s="275"/>
      <c r="F232" s="211"/>
      <c r="G232" s="211"/>
      <c r="H232" s="211"/>
      <c r="I232" s="272"/>
      <c r="J232" s="211"/>
      <c r="K232" s="272"/>
      <c r="L232" s="211"/>
      <c r="M232" s="272"/>
      <c r="N232" s="211"/>
      <c r="O232" s="272"/>
      <c r="P232" s="211"/>
      <c r="Q232" s="272"/>
      <c r="R232" s="211"/>
      <c r="S232" s="272"/>
      <c r="T232" s="211"/>
      <c r="U232" s="272"/>
      <c r="V232" s="211"/>
      <c r="W232" s="211"/>
      <c r="X232" s="211"/>
      <c r="Y232" s="211"/>
      <c r="Z232" s="211"/>
      <c r="AA232" s="211"/>
      <c r="AB232" s="211"/>
      <c r="AC232" s="211"/>
      <c r="AD232" s="211"/>
      <c r="AE232" s="211"/>
      <c r="AF232" s="211"/>
      <c r="AG232" s="211"/>
      <c r="AH232" s="211"/>
      <c r="AI232" s="211"/>
      <c r="AJ232" s="211"/>
      <c r="AK232" s="211"/>
      <c r="AL232" s="272"/>
      <c r="AM232" s="211"/>
      <c r="AN232" s="211"/>
      <c r="AO232" s="272"/>
      <c r="AP232" s="217"/>
      <c r="AQ232" s="211"/>
      <c r="AR232" s="211"/>
      <c r="AS232" s="211"/>
      <c r="AT232" s="211"/>
    </row>
    <row r="233" spans="1:46" s="212" customFormat="1">
      <c r="A233" s="211"/>
      <c r="B233" s="211"/>
      <c r="C233" s="275"/>
      <c r="F233" s="211"/>
      <c r="G233" s="211"/>
      <c r="H233" s="211"/>
      <c r="I233" s="272"/>
      <c r="J233" s="211"/>
      <c r="K233" s="272"/>
      <c r="L233" s="211"/>
      <c r="M233" s="272"/>
      <c r="N233" s="211"/>
      <c r="O233" s="272"/>
      <c r="P233" s="211"/>
      <c r="Q233" s="272"/>
      <c r="R233" s="211"/>
      <c r="S233" s="272"/>
      <c r="T233" s="211"/>
      <c r="U233" s="272"/>
      <c r="V233" s="211"/>
      <c r="W233" s="211"/>
      <c r="X233" s="211"/>
      <c r="Y233" s="211"/>
      <c r="Z233" s="211"/>
      <c r="AA233" s="211"/>
      <c r="AB233" s="211"/>
      <c r="AC233" s="211"/>
      <c r="AD233" s="211"/>
      <c r="AE233" s="211"/>
      <c r="AF233" s="211"/>
      <c r="AG233" s="211"/>
      <c r="AH233" s="211"/>
      <c r="AI233" s="211"/>
      <c r="AJ233" s="211"/>
      <c r="AK233" s="211"/>
      <c r="AL233" s="272"/>
      <c r="AM233" s="211"/>
      <c r="AN233" s="211"/>
      <c r="AO233" s="272"/>
      <c r="AP233" s="217"/>
      <c r="AQ233" s="211"/>
      <c r="AR233" s="211"/>
      <c r="AS233" s="211"/>
      <c r="AT233" s="211"/>
    </row>
    <row r="234" spans="1:46" s="212" customFormat="1">
      <c r="A234" s="211"/>
      <c r="B234" s="211"/>
      <c r="C234" s="275"/>
      <c r="F234" s="211"/>
      <c r="G234" s="211"/>
      <c r="H234" s="211"/>
      <c r="I234" s="272"/>
      <c r="J234" s="211"/>
      <c r="K234" s="272"/>
      <c r="L234" s="211"/>
      <c r="M234" s="272"/>
      <c r="N234" s="211"/>
      <c r="O234" s="272"/>
      <c r="P234" s="211"/>
      <c r="Q234" s="272"/>
      <c r="R234" s="211"/>
      <c r="S234" s="272"/>
      <c r="T234" s="211"/>
      <c r="U234" s="272"/>
      <c r="V234" s="211"/>
      <c r="W234" s="211"/>
      <c r="X234" s="211"/>
      <c r="Y234" s="211"/>
      <c r="Z234" s="211"/>
      <c r="AA234" s="211"/>
      <c r="AB234" s="211"/>
      <c r="AC234" s="211"/>
      <c r="AD234" s="211"/>
      <c r="AE234" s="211"/>
      <c r="AF234" s="211"/>
      <c r="AG234" s="211"/>
      <c r="AH234" s="211"/>
      <c r="AI234" s="211"/>
      <c r="AJ234" s="211"/>
      <c r="AK234" s="211"/>
      <c r="AL234" s="272"/>
      <c r="AM234" s="211"/>
      <c r="AN234" s="211"/>
      <c r="AO234" s="272"/>
      <c r="AP234" s="217"/>
      <c r="AQ234" s="211"/>
      <c r="AR234" s="211"/>
      <c r="AS234" s="211"/>
      <c r="AT234" s="211"/>
    </row>
    <row r="235" spans="1:46" s="212" customFormat="1">
      <c r="A235" s="211"/>
      <c r="B235" s="211"/>
      <c r="C235" s="275"/>
      <c r="F235" s="211"/>
      <c r="G235" s="211"/>
      <c r="H235" s="211"/>
      <c r="I235" s="272"/>
      <c r="J235" s="211"/>
      <c r="K235" s="272"/>
      <c r="L235" s="211"/>
      <c r="M235" s="272"/>
      <c r="N235" s="211"/>
      <c r="O235" s="272"/>
      <c r="P235" s="211"/>
      <c r="Q235" s="272"/>
      <c r="R235" s="211"/>
      <c r="S235" s="272"/>
      <c r="T235" s="211"/>
      <c r="U235" s="272"/>
      <c r="V235" s="211"/>
      <c r="W235" s="211"/>
      <c r="X235" s="211"/>
      <c r="Y235" s="211"/>
      <c r="Z235" s="211"/>
      <c r="AA235" s="211"/>
      <c r="AB235" s="211"/>
      <c r="AC235" s="211"/>
      <c r="AD235" s="211"/>
      <c r="AE235" s="211"/>
      <c r="AF235" s="211"/>
      <c r="AG235" s="211"/>
      <c r="AH235" s="211"/>
      <c r="AI235" s="211"/>
      <c r="AJ235" s="211"/>
      <c r="AK235" s="211"/>
      <c r="AL235" s="272"/>
      <c r="AM235" s="211"/>
      <c r="AN235" s="211"/>
      <c r="AO235" s="272"/>
      <c r="AP235" s="217"/>
      <c r="AQ235" s="211"/>
      <c r="AR235" s="211"/>
      <c r="AS235" s="211"/>
      <c r="AT235" s="211"/>
    </row>
    <row r="236" spans="1:46" s="212" customFormat="1">
      <c r="A236" s="211"/>
      <c r="B236" s="211"/>
      <c r="C236" s="275"/>
      <c r="F236" s="211"/>
      <c r="G236" s="211"/>
      <c r="H236" s="211"/>
      <c r="I236" s="272"/>
      <c r="J236" s="211"/>
      <c r="K236" s="272"/>
      <c r="L236" s="211"/>
      <c r="M236" s="272"/>
      <c r="N236" s="211"/>
      <c r="O236" s="272"/>
      <c r="P236" s="211"/>
      <c r="Q236" s="272"/>
      <c r="R236" s="211"/>
      <c r="S236" s="272"/>
      <c r="T236" s="211"/>
      <c r="U236" s="272"/>
      <c r="V236" s="211"/>
      <c r="W236" s="211"/>
      <c r="X236" s="211"/>
      <c r="Y236" s="211"/>
      <c r="Z236" s="211"/>
      <c r="AA236" s="211"/>
      <c r="AB236" s="211"/>
      <c r="AC236" s="211"/>
      <c r="AD236" s="211"/>
      <c r="AE236" s="211"/>
      <c r="AF236" s="211"/>
      <c r="AG236" s="211"/>
      <c r="AH236" s="211"/>
      <c r="AI236" s="211"/>
      <c r="AJ236" s="211"/>
      <c r="AK236" s="211"/>
      <c r="AL236" s="272"/>
      <c r="AM236" s="211"/>
      <c r="AN236" s="211"/>
      <c r="AO236" s="272"/>
      <c r="AP236" s="217"/>
      <c r="AQ236" s="211"/>
      <c r="AR236" s="211"/>
      <c r="AS236" s="211"/>
      <c r="AT236" s="211"/>
    </row>
    <row r="237" spans="1:46" s="212" customFormat="1">
      <c r="A237" s="211"/>
      <c r="B237" s="211"/>
      <c r="C237" s="275"/>
      <c r="F237" s="211"/>
      <c r="G237" s="211"/>
      <c r="H237" s="211"/>
      <c r="I237" s="272"/>
      <c r="J237" s="211"/>
      <c r="K237" s="272"/>
      <c r="L237" s="211"/>
      <c r="M237" s="272"/>
      <c r="N237" s="211"/>
      <c r="O237" s="272"/>
      <c r="P237" s="211"/>
      <c r="Q237" s="272"/>
      <c r="R237" s="211"/>
      <c r="S237" s="272"/>
      <c r="T237" s="211"/>
      <c r="U237" s="272"/>
      <c r="V237" s="211"/>
      <c r="W237" s="211"/>
      <c r="X237" s="211"/>
      <c r="Y237" s="211"/>
      <c r="Z237" s="211"/>
      <c r="AA237" s="211"/>
      <c r="AB237" s="211"/>
      <c r="AC237" s="211"/>
      <c r="AD237" s="211"/>
      <c r="AE237" s="211"/>
      <c r="AF237" s="211"/>
      <c r="AG237" s="211"/>
      <c r="AH237" s="211"/>
      <c r="AI237" s="211"/>
      <c r="AJ237" s="211"/>
      <c r="AK237" s="211"/>
      <c r="AL237" s="272"/>
      <c r="AM237" s="211"/>
      <c r="AN237" s="211"/>
      <c r="AO237" s="272"/>
      <c r="AP237" s="217"/>
      <c r="AQ237" s="211"/>
      <c r="AR237" s="211"/>
      <c r="AS237" s="211"/>
      <c r="AT237" s="211"/>
    </row>
    <row r="238" spans="1:46" s="212" customFormat="1">
      <c r="A238" s="211"/>
      <c r="B238" s="211"/>
      <c r="C238" s="275"/>
      <c r="F238" s="211"/>
      <c r="G238" s="211"/>
      <c r="H238" s="211"/>
      <c r="I238" s="272"/>
      <c r="J238" s="211"/>
      <c r="K238" s="272"/>
      <c r="L238" s="211"/>
      <c r="M238" s="272"/>
      <c r="N238" s="211"/>
      <c r="O238" s="272"/>
      <c r="P238" s="211"/>
      <c r="Q238" s="272"/>
      <c r="R238" s="211"/>
      <c r="S238" s="272"/>
      <c r="T238" s="211"/>
      <c r="U238" s="272"/>
      <c r="V238" s="211"/>
      <c r="W238" s="211"/>
      <c r="X238" s="211"/>
      <c r="Y238" s="211"/>
      <c r="Z238" s="211"/>
      <c r="AA238" s="211"/>
      <c r="AB238" s="211"/>
      <c r="AC238" s="211"/>
      <c r="AD238" s="211"/>
      <c r="AE238" s="211"/>
      <c r="AF238" s="211"/>
      <c r="AG238" s="211"/>
      <c r="AH238" s="211"/>
      <c r="AI238" s="211"/>
      <c r="AJ238" s="211"/>
      <c r="AK238" s="211"/>
      <c r="AL238" s="272"/>
      <c r="AM238" s="211"/>
      <c r="AN238" s="211"/>
      <c r="AO238" s="272"/>
      <c r="AP238" s="217"/>
      <c r="AQ238" s="211"/>
      <c r="AR238" s="211"/>
      <c r="AS238" s="211"/>
      <c r="AT238" s="211"/>
    </row>
    <row r="239" spans="1:46" s="212" customFormat="1">
      <c r="A239" s="211"/>
      <c r="B239" s="211"/>
      <c r="C239" s="275"/>
      <c r="F239" s="211"/>
      <c r="G239" s="211"/>
      <c r="H239" s="211"/>
      <c r="I239" s="272"/>
      <c r="J239" s="211"/>
      <c r="K239" s="272"/>
      <c r="L239" s="211"/>
      <c r="M239" s="272"/>
      <c r="N239" s="211"/>
      <c r="O239" s="272"/>
      <c r="P239" s="211"/>
      <c r="Q239" s="272"/>
      <c r="R239" s="211"/>
      <c r="S239" s="272"/>
      <c r="T239" s="211"/>
      <c r="U239" s="272"/>
      <c r="V239" s="211"/>
      <c r="W239" s="211"/>
      <c r="X239" s="211"/>
      <c r="Y239" s="211"/>
      <c r="Z239" s="211"/>
      <c r="AA239" s="211"/>
      <c r="AB239" s="211"/>
      <c r="AC239" s="211"/>
      <c r="AD239" s="211"/>
      <c r="AE239" s="211"/>
      <c r="AF239" s="211"/>
      <c r="AG239" s="211"/>
      <c r="AH239" s="211"/>
      <c r="AI239" s="211"/>
      <c r="AJ239" s="211"/>
      <c r="AK239" s="211"/>
      <c r="AL239" s="272"/>
      <c r="AM239" s="211"/>
      <c r="AN239" s="211"/>
      <c r="AO239" s="272"/>
      <c r="AP239" s="217"/>
      <c r="AQ239" s="211"/>
      <c r="AR239" s="211"/>
      <c r="AS239" s="211"/>
      <c r="AT239" s="211"/>
    </row>
    <row r="240" spans="1:46" s="212" customFormat="1">
      <c r="A240" s="211"/>
      <c r="B240" s="211"/>
      <c r="C240" s="275"/>
      <c r="F240" s="211"/>
      <c r="G240" s="211"/>
      <c r="H240" s="211"/>
      <c r="I240" s="272"/>
      <c r="J240" s="211"/>
      <c r="K240" s="272"/>
      <c r="L240" s="211"/>
      <c r="M240" s="272"/>
      <c r="N240" s="211"/>
      <c r="O240" s="272"/>
      <c r="P240" s="211"/>
      <c r="Q240" s="272"/>
      <c r="R240" s="211"/>
      <c r="S240" s="272"/>
      <c r="T240" s="211"/>
      <c r="U240" s="272"/>
      <c r="V240" s="211"/>
      <c r="W240" s="211"/>
      <c r="X240" s="211"/>
      <c r="Y240" s="211"/>
      <c r="Z240" s="211"/>
      <c r="AA240" s="211"/>
      <c r="AB240" s="211"/>
      <c r="AC240" s="211"/>
      <c r="AD240" s="211"/>
      <c r="AE240" s="211"/>
      <c r="AF240" s="211"/>
      <c r="AG240" s="211"/>
      <c r="AH240" s="211"/>
      <c r="AI240" s="211"/>
      <c r="AJ240" s="211"/>
      <c r="AK240" s="211"/>
      <c r="AL240" s="272"/>
      <c r="AM240" s="211"/>
      <c r="AN240" s="211"/>
      <c r="AO240" s="272"/>
      <c r="AP240" s="217"/>
      <c r="AQ240" s="211"/>
      <c r="AR240" s="211"/>
      <c r="AS240" s="211"/>
      <c r="AT240" s="211"/>
    </row>
    <row r="241" spans="1:46" s="212" customFormat="1">
      <c r="A241" s="211"/>
      <c r="B241" s="211"/>
      <c r="C241" s="275"/>
      <c r="F241" s="211"/>
      <c r="G241" s="211"/>
      <c r="H241" s="211"/>
      <c r="I241" s="272"/>
      <c r="J241" s="211"/>
      <c r="K241" s="272"/>
      <c r="L241" s="211"/>
      <c r="M241" s="272"/>
      <c r="N241" s="211"/>
      <c r="O241" s="272"/>
      <c r="P241" s="211"/>
      <c r="Q241" s="272"/>
      <c r="R241" s="211"/>
      <c r="S241" s="272"/>
      <c r="T241" s="211"/>
      <c r="U241" s="272"/>
      <c r="V241" s="211"/>
      <c r="W241" s="211"/>
      <c r="X241" s="211"/>
      <c r="Y241" s="211"/>
      <c r="Z241" s="211"/>
      <c r="AA241" s="211"/>
      <c r="AB241" s="211"/>
      <c r="AC241" s="211"/>
      <c r="AD241" s="211"/>
      <c r="AE241" s="211"/>
      <c r="AF241" s="211"/>
      <c r="AG241" s="211"/>
      <c r="AH241" s="211"/>
      <c r="AI241" s="211"/>
      <c r="AJ241" s="211"/>
      <c r="AK241" s="211"/>
      <c r="AL241" s="272"/>
      <c r="AM241" s="211"/>
      <c r="AN241" s="211"/>
      <c r="AO241" s="272"/>
      <c r="AP241" s="217"/>
      <c r="AQ241" s="211"/>
      <c r="AR241" s="211"/>
      <c r="AS241" s="211"/>
      <c r="AT241" s="211"/>
    </row>
    <row r="242" spans="1:46" s="212" customFormat="1">
      <c r="A242" s="211"/>
      <c r="B242" s="211"/>
      <c r="C242" s="275"/>
      <c r="F242" s="211"/>
      <c r="G242" s="211"/>
      <c r="H242" s="211"/>
      <c r="I242" s="272"/>
      <c r="J242" s="211"/>
      <c r="K242" s="272"/>
      <c r="L242" s="211"/>
      <c r="M242" s="272"/>
      <c r="N242" s="211"/>
      <c r="O242" s="272"/>
      <c r="P242" s="211"/>
      <c r="Q242" s="272"/>
      <c r="R242" s="211"/>
      <c r="S242" s="272"/>
      <c r="T242" s="211"/>
      <c r="U242" s="272"/>
      <c r="V242" s="211"/>
      <c r="W242" s="211"/>
      <c r="X242" s="211"/>
      <c r="Y242" s="211"/>
      <c r="Z242" s="211"/>
      <c r="AA242" s="211"/>
      <c r="AB242" s="211"/>
      <c r="AC242" s="211"/>
      <c r="AD242" s="211"/>
      <c r="AE242" s="211"/>
      <c r="AF242" s="211"/>
      <c r="AG242" s="211"/>
      <c r="AH242" s="211"/>
      <c r="AI242" s="211"/>
      <c r="AJ242" s="211"/>
      <c r="AK242" s="211"/>
      <c r="AL242" s="272"/>
      <c r="AM242" s="211"/>
      <c r="AN242" s="211"/>
      <c r="AO242" s="272"/>
      <c r="AP242" s="217"/>
      <c r="AQ242" s="211"/>
      <c r="AR242" s="211"/>
      <c r="AS242" s="211"/>
      <c r="AT242" s="211"/>
    </row>
    <row r="243" spans="1:46" s="212" customFormat="1">
      <c r="A243" s="211"/>
      <c r="B243" s="211"/>
      <c r="C243" s="275"/>
      <c r="F243" s="211"/>
      <c r="G243" s="211"/>
      <c r="H243" s="211"/>
      <c r="I243" s="272"/>
      <c r="J243" s="211"/>
      <c r="K243" s="272"/>
      <c r="L243" s="211"/>
      <c r="M243" s="272"/>
      <c r="N243" s="211"/>
      <c r="O243" s="272"/>
      <c r="P243" s="211"/>
      <c r="Q243" s="272"/>
      <c r="R243" s="211"/>
      <c r="S243" s="272"/>
      <c r="T243" s="211"/>
      <c r="U243" s="272"/>
      <c r="V243" s="211"/>
      <c r="W243" s="211"/>
      <c r="X243" s="211"/>
      <c r="Y243" s="211"/>
      <c r="Z243" s="211"/>
      <c r="AA243" s="211"/>
      <c r="AB243" s="211"/>
      <c r="AC243" s="211"/>
      <c r="AD243" s="211"/>
      <c r="AE243" s="211"/>
      <c r="AF243" s="211"/>
      <c r="AG243" s="211"/>
      <c r="AH243" s="211"/>
      <c r="AI243" s="211"/>
      <c r="AJ243" s="211"/>
      <c r="AK243" s="211"/>
      <c r="AL243" s="272"/>
      <c r="AM243" s="211"/>
      <c r="AN243" s="211"/>
      <c r="AO243" s="272"/>
      <c r="AP243" s="217"/>
      <c r="AQ243" s="211"/>
      <c r="AR243" s="211"/>
      <c r="AS243" s="211"/>
      <c r="AT243" s="211"/>
    </row>
    <row r="244" spans="1:46" s="212" customFormat="1">
      <c r="A244" s="211"/>
      <c r="B244" s="211"/>
      <c r="C244" s="275"/>
      <c r="F244" s="211"/>
      <c r="G244" s="211"/>
      <c r="H244" s="211"/>
      <c r="I244" s="272"/>
      <c r="J244" s="211"/>
      <c r="K244" s="272"/>
      <c r="L244" s="211"/>
      <c r="M244" s="272"/>
      <c r="N244" s="211"/>
      <c r="O244" s="272"/>
      <c r="P244" s="211"/>
      <c r="Q244" s="272"/>
      <c r="R244" s="211"/>
      <c r="S244" s="272"/>
      <c r="T244" s="211"/>
      <c r="U244" s="272"/>
      <c r="V244" s="211"/>
      <c r="W244" s="211"/>
      <c r="X244" s="211"/>
      <c r="Y244" s="211"/>
      <c r="Z244" s="211"/>
      <c r="AA244" s="211"/>
      <c r="AB244" s="211"/>
      <c r="AC244" s="211"/>
      <c r="AD244" s="211"/>
      <c r="AE244" s="211"/>
      <c r="AF244" s="211"/>
      <c r="AG244" s="211"/>
      <c r="AH244" s="211"/>
      <c r="AI244" s="211"/>
      <c r="AJ244" s="211"/>
      <c r="AK244" s="211"/>
      <c r="AL244" s="272"/>
      <c r="AM244" s="211"/>
      <c r="AN244" s="211"/>
      <c r="AO244" s="272"/>
      <c r="AP244" s="217"/>
      <c r="AQ244" s="211"/>
      <c r="AR244" s="211"/>
      <c r="AS244" s="211"/>
      <c r="AT244" s="211"/>
    </row>
    <row r="245" spans="1:46" s="212" customFormat="1">
      <c r="A245" s="211"/>
      <c r="B245" s="211"/>
      <c r="C245" s="275"/>
      <c r="F245" s="211"/>
      <c r="G245" s="211"/>
      <c r="H245" s="211"/>
      <c r="I245" s="272"/>
      <c r="J245" s="211"/>
      <c r="K245" s="272"/>
      <c r="L245" s="211"/>
      <c r="M245" s="272"/>
      <c r="N245" s="211"/>
      <c r="O245" s="272"/>
      <c r="P245" s="211"/>
      <c r="Q245" s="272"/>
      <c r="R245" s="211"/>
      <c r="S245" s="272"/>
      <c r="T245" s="211"/>
      <c r="U245" s="272"/>
      <c r="V245" s="211"/>
      <c r="W245" s="211"/>
      <c r="X245" s="211"/>
      <c r="Y245" s="211"/>
      <c r="Z245" s="211"/>
      <c r="AA245" s="211"/>
      <c r="AB245" s="211"/>
      <c r="AC245" s="211"/>
      <c r="AD245" s="211"/>
      <c r="AE245" s="211"/>
      <c r="AF245" s="211"/>
      <c r="AG245" s="211"/>
      <c r="AH245" s="211"/>
      <c r="AI245" s="211"/>
      <c r="AJ245" s="211"/>
      <c r="AK245" s="211"/>
      <c r="AL245" s="272"/>
      <c r="AM245" s="211"/>
      <c r="AN245" s="211"/>
      <c r="AO245" s="272"/>
      <c r="AP245" s="217"/>
      <c r="AQ245" s="211"/>
      <c r="AR245" s="211"/>
      <c r="AS245" s="211"/>
      <c r="AT245" s="211"/>
    </row>
    <row r="246" spans="1:46" s="212" customFormat="1">
      <c r="A246" s="211"/>
      <c r="B246" s="211"/>
      <c r="C246" s="275"/>
      <c r="F246" s="211"/>
      <c r="G246" s="211"/>
      <c r="H246" s="211"/>
      <c r="I246" s="272"/>
      <c r="J246" s="211"/>
      <c r="K246" s="272"/>
      <c r="L246" s="211"/>
      <c r="M246" s="272"/>
      <c r="N246" s="211"/>
      <c r="O246" s="272"/>
      <c r="P246" s="211"/>
      <c r="Q246" s="272"/>
      <c r="R246" s="211"/>
      <c r="S246" s="272"/>
      <c r="T246" s="211"/>
      <c r="U246" s="272"/>
      <c r="V246" s="211"/>
      <c r="W246" s="211"/>
      <c r="X246" s="211"/>
      <c r="Y246" s="211"/>
      <c r="Z246" s="211"/>
      <c r="AA246" s="211"/>
      <c r="AB246" s="211"/>
      <c r="AC246" s="211"/>
      <c r="AD246" s="211"/>
      <c r="AE246" s="211"/>
      <c r="AF246" s="211"/>
      <c r="AG246" s="211"/>
      <c r="AH246" s="211"/>
      <c r="AI246" s="211"/>
      <c r="AJ246" s="211"/>
      <c r="AK246" s="211"/>
      <c r="AL246" s="272"/>
      <c r="AM246" s="211"/>
      <c r="AN246" s="211"/>
      <c r="AO246" s="272"/>
      <c r="AP246" s="217"/>
      <c r="AQ246" s="211"/>
      <c r="AR246" s="211"/>
      <c r="AS246" s="211"/>
      <c r="AT246" s="211"/>
    </row>
  </sheetData>
  <mergeCells count="85">
    <mergeCell ref="D50:G50"/>
    <mergeCell ref="C4:C5"/>
    <mergeCell ref="D4:D5"/>
    <mergeCell ref="E4:E5"/>
    <mergeCell ref="B6:G6"/>
    <mergeCell ref="B7:B26"/>
    <mergeCell ref="C7:C26"/>
    <mergeCell ref="D7:D26"/>
    <mergeCell ref="E7:E26"/>
    <mergeCell ref="F7:F11"/>
    <mergeCell ref="F12:F16"/>
    <mergeCell ref="F17:F20"/>
    <mergeCell ref="F21:F22"/>
    <mergeCell ref="F23:F24"/>
    <mergeCell ref="F25:F26"/>
    <mergeCell ref="B27:G27"/>
    <mergeCell ref="B70:G70"/>
    <mergeCell ref="D51:G51"/>
    <mergeCell ref="D55:G55"/>
    <mergeCell ref="D57:G57"/>
    <mergeCell ref="D59:G59"/>
    <mergeCell ref="B60:G60"/>
    <mergeCell ref="B61:G61"/>
    <mergeCell ref="C62:C66"/>
    <mergeCell ref="D62:D66"/>
    <mergeCell ref="E62:E66"/>
    <mergeCell ref="B68:G68"/>
    <mergeCell ref="B69:G69"/>
    <mergeCell ref="D92:D98"/>
    <mergeCell ref="E92:E98"/>
    <mergeCell ref="B71:G71"/>
    <mergeCell ref="D72:D74"/>
    <mergeCell ref="E72:E74"/>
    <mergeCell ref="D75:G75"/>
    <mergeCell ref="D77:G77"/>
    <mergeCell ref="D78:D80"/>
    <mergeCell ref="E78:E80"/>
    <mergeCell ref="D81:G81"/>
    <mergeCell ref="D83:G83"/>
    <mergeCell ref="D84:D90"/>
    <mergeCell ref="E84:E90"/>
    <mergeCell ref="D91:G91"/>
    <mergeCell ref="D99:G99"/>
    <mergeCell ref="D100:D109"/>
    <mergeCell ref="E100:E109"/>
    <mergeCell ref="D110:G110"/>
    <mergeCell ref="D111:D114"/>
    <mergeCell ref="E111:E114"/>
    <mergeCell ref="D151:G151"/>
    <mergeCell ref="D115:G115"/>
    <mergeCell ref="D117:G117"/>
    <mergeCell ref="D118:D133"/>
    <mergeCell ref="E118:E133"/>
    <mergeCell ref="D134:G134"/>
    <mergeCell ref="D135:D143"/>
    <mergeCell ref="E135:E143"/>
    <mergeCell ref="D144:G144"/>
    <mergeCell ref="D145:D146"/>
    <mergeCell ref="E145:E146"/>
    <mergeCell ref="D147:G147"/>
    <mergeCell ref="D149:G149"/>
    <mergeCell ref="B177:G177"/>
    <mergeCell ref="D153:G153"/>
    <mergeCell ref="D154:D162"/>
    <mergeCell ref="E154:E162"/>
    <mergeCell ref="D163:G163"/>
    <mergeCell ref="B164:G164"/>
    <mergeCell ref="B165:D165"/>
    <mergeCell ref="E165:G165"/>
    <mergeCell ref="D168:D172"/>
    <mergeCell ref="E168:E172"/>
    <mergeCell ref="D173:D175"/>
    <mergeCell ref="E173:E175"/>
    <mergeCell ref="B176:G176"/>
    <mergeCell ref="D201:D202"/>
    <mergeCell ref="E201:E202"/>
    <mergeCell ref="B203:G203"/>
    <mergeCell ref="B178:G178"/>
    <mergeCell ref="B179:D179"/>
    <mergeCell ref="E179:G179"/>
    <mergeCell ref="F185:F187"/>
    <mergeCell ref="D195:D200"/>
    <mergeCell ref="E195:E196"/>
    <mergeCell ref="E197:E198"/>
    <mergeCell ref="E199:E200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C942-3200-42DA-B8FF-0993ED433AA1}">
  <sheetPr>
    <tabColor rgb="FFD5D5FF"/>
  </sheetPr>
  <dimension ref="B2:J102"/>
  <sheetViews>
    <sheetView showGridLines="0" zoomScaleNormal="100" workbookViewId="0">
      <pane ySplit="4" topLeftCell="A13" activePane="bottomLeft" state="frozen"/>
      <selection pane="bottomLeft" activeCell="D91" sqref="D91"/>
    </sheetView>
  </sheetViews>
  <sheetFormatPr baseColWidth="10" defaultColWidth="8.83203125" defaultRowHeight="17"/>
  <cols>
    <col min="1" max="1" width="3.6640625" customWidth="1"/>
    <col min="2" max="2" width="8.6640625" customWidth="1"/>
    <col min="3" max="3" width="14.83203125" style="212" customWidth="1"/>
    <col min="4" max="4" width="13.6640625" style="212" customWidth="1"/>
    <col min="5" max="5" width="11.5" customWidth="1"/>
    <col min="6" max="6" width="43.5" customWidth="1"/>
    <col min="7" max="7" width="40.1640625" bestFit="1" customWidth="1"/>
    <col min="8" max="8" width="11.33203125" bestFit="1" customWidth="1"/>
    <col min="9" max="9" width="9.1640625" style="312" bestFit="1" customWidth="1"/>
    <col min="10" max="10" width="42.1640625" style="785" bestFit="1" customWidth="1"/>
  </cols>
  <sheetData>
    <row r="2" spans="2:10" ht="20">
      <c r="B2" s="316" t="s">
        <v>329</v>
      </c>
    </row>
    <row r="3" spans="2:10" ht="5" customHeight="1" thickBot="1"/>
    <row r="4" spans="2:10" ht="18" thickBot="1">
      <c r="B4" s="718" t="s">
        <v>330</v>
      </c>
      <c r="C4" s="318" t="s">
        <v>331</v>
      </c>
      <c r="D4" s="318" t="s">
        <v>332</v>
      </c>
      <c r="E4" s="317" t="s">
        <v>333</v>
      </c>
      <c r="F4" s="318" t="s">
        <v>334</v>
      </c>
      <c r="G4" s="318" t="s">
        <v>335</v>
      </c>
      <c r="H4" s="318" t="s">
        <v>336</v>
      </c>
      <c r="I4" s="318" t="s">
        <v>337</v>
      </c>
      <c r="J4" s="319" t="s">
        <v>338</v>
      </c>
    </row>
    <row r="5" spans="2:10" ht="18">
      <c r="B5" s="1191" t="s">
        <v>7</v>
      </c>
      <c r="C5" s="774" t="s">
        <v>520</v>
      </c>
      <c r="D5" s="775">
        <f>SUM(H5)</f>
        <v>4956000</v>
      </c>
      <c r="E5" s="320">
        <v>46027</v>
      </c>
      <c r="F5" s="719" t="s">
        <v>521</v>
      </c>
      <c r="G5" s="719" t="s">
        <v>522</v>
      </c>
      <c r="H5" s="321">
        <v>4956000</v>
      </c>
      <c r="I5" s="323" t="s">
        <v>354</v>
      </c>
      <c r="J5" s="720" t="s">
        <v>523</v>
      </c>
    </row>
    <row r="6" spans="2:10">
      <c r="B6" s="1192"/>
      <c r="C6" s="1194" t="s">
        <v>252</v>
      </c>
      <c r="D6" s="1197">
        <f>SUM(H6:H9)</f>
        <v>12170000</v>
      </c>
      <c r="E6" s="320">
        <v>46028</v>
      </c>
      <c r="F6" s="719" t="s">
        <v>350</v>
      </c>
      <c r="G6" s="719" t="s">
        <v>351</v>
      </c>
      <c r="H6" s="321">
        <v>4950000</v>
      </c>
      <c r="I6" s="322" t="s">
        <v>354</v>
      </c>
      <c r="J6" s="720"/>
    </row>
    <row r="7" spans="2:10">
      <c r="B7" s="1192"/>
      <c r="C7" s="1195"/>
      <c r="D7" s="1198"/>
      <c r="E7" s="320">
        <v>46031</v>
      </c>
      <c r="F7" s="719" t="s">
        <v>524</v>
      </c>
      <c r="G7" s="719" t="s">
        <v>355</v>
      </c>
      <c r="H7" s="321">
        <v>6160000</v>
      </c>
      <c r="I7" s="322" t="s">
        <v>354</v>
      </c>
      <c r="J7" s="720"/>
    </row>
    <row r="8" spans="2:10" ht="18">
      <c r="B8" s="1192"/>
      <c r="C8" s="1195"/>
      <c r="D8" s="1198"/>
      <c r="E8" s="320">
        <v>46031</v>
      </c>
      <c r="F8" s="719" t="s">
        <v>525</v>
      </c>
      <c r="G8" s="719" t="s">
        <v>526</v>
      </c>
      <c r="H8" s="321">
        <v>660000</v>
      </c>
      <c r="I8" s="322" t="s">
        <v>354</v>
      </c>
      <c r="J8" s="720" t="s">
        <v>527</v>
      </c>
    </row>
    <row r="9" spans="2:10">
      <c r="B9" s="1192"/>
      <c r="C9" s="1196"/>
      <c r="D9" s="1199"/>
      <c r="E9" s="320">
        <v>46045</v>
      </c>
      <c r="F9" s="719" t="s">
        <v>528</v>
      </c>
      <c r="G9" s="719" t="s">
        <v>353</v>
      </c>
      <c r="H9" s="321">
        <v>400000</v>
      </c>
      <c r="I9" s="322" t="s">
        <v>354</v>
      </c>
      <c r="J9" s="720"/>
    </row>
    <row r="10" spans="2:10" ht="18">
      <c r="B10" s="1192"/>
      <c r="C10" s="721" t="s">
        <v>529</v>
      </c>
      <c r="D10" s="722">
        <f>SUM(H10)</f>
        <v>176000</v>
      </c>
      <c r="E10" s="320">
        <v>46031</v>
      </c>
      <c r="F10" s="719" t="s">
        <v>530</v>
      </c>
      <c r="G10" s="719" t="s">
        <v>357</v>
      </c>
      <c r="H10" s="321">
        <v>176000</v>
      </c>
      <c r="I10" s="322" t="s">
        <v>354</v>
      </c>
      <c r="J10" s="720" t="s">
        <v>531</v>
      </c>
    </row>
    <row r="11" spans="2:10" ht="18">
      <c r="B11" s="1192"/>
      <c r="C11" s="1200" t="s">
        <v>256</v>
      </c>
      <c r="D11" s="1203">
        <f>SUM(H11:H16)</f>
        <v>500110</v>
      </c>
      <c r="E11" s="422">
        <v>46031</v>
      </c>
      <c r="F11" s="723" t="s">
        <v>532</v>
      </c>
      <c r="G11" s="723" t="s">
        <v>533</v>
      </c>
      <c r="H11" s="421">
        <v>54000</v>
      </c>
      <c r="I11" s="724"/>
      <c r="J11" s="725" t="s">
        <v>534</v>
      </c>
    </row>
    <row r="12" spans="2:10" ht="18">
      <c r="B12" s="1192"/>
      <c r="C12" s="1201"/>
      <c r="D12" s="1204"/>
      <c r="E12" s="422">
        <v>46031</v>
      </c>
      <c r="F12" s="723" t="s">
        <v>535</v>
      </c>
      <c r="G12" s="723" t="s">
        <v>340</v>
      </c>
      <c r="H12" s="421">
        <v>16900</v>
      </c>
      <c r="I12" s="724"/>
      <c r="J12" s="725" t="s">
        <v>536</v>
      </c>
    </row>
    <row r="13" spans="2:10" ht="18">
      <c r="B13" s="1192"/>
      <c r="C13" s="1201"/>
      <c r="D13" s="1204"/>
      <c r="E13" s="422">
        <v>46031</v>
      </c>
      <c r="F13" s="723" t="s">
        <v>537</v>
      </c>
      <c r="G13" s="723" t="s">
        <v>339</v>
      </c>
      <c r="H13" s="421">
        <v>37260</v>
      </c>
      <c r="I13" s="724"/>
      <c r="J13" s="725" t="s">
        <v>538</v>
      </c>
    </row>
    <row r="14" spans="2:10">
      <c r="B14" s="1192"/>
      <c r="C14" s="1201"/>
      <c r="D14" s="1204"/>
      <c r="E14" s="422">
        <v>46042</v>
      </c>
      <c r="F14" s="723" t="s">
        <v>539</v>
      </c>
      <c r="G14" s="723" t="s">
        <v>340</v>
      </c>
      <c r="H14" s="421">
        <v>180000</v>
      </c>
      <c r="I14" s="724"/>
      <c r="J14" s="725"/>
    </row>
    <row r="15" spans="2:10">
      <c r="B15" s="1192"/>
      <c r="C15" s="1201"/>
      <c r="D15" s="1204"/>
      <c r="E15" s="422">
        <v>46042</v>
      </c>
      <c r="F15" s="723" t="s">
        <v>540</v>
      </c>
      <c r="G15" s="723" t="s">
        <v>339</v>
      </c>
      <c r="H15" s="421">
        <v>55950</v>
      </c>
      <c r="I15" s="724"/>
      <c r="J15" s="725"/>
    </row>
    <row r="16" spans="2:10">
      <c r="B16" s="1192"/>
      <c r="C16" s="1202"/>
      <c r="D16" s="1205"/>
      <c r="E16" s="422">
        <v>46043</v>
      </c>
      <c r="F16" s="723" t="s">
        <v>541</v>
      </c>
      <c r="G16" s="723" t="s">
        <v>343</v>
      </c>
      <c r="H16" s="421">
        <v>156000</v>
      </c>
      <c r="I16" s="724"/>
      <c r="J16" s="725"/>
    </row>
    <row r="17" spans="2:10">
      <c r="B17" s="1192"/>
      <c r="C17" s="1194" t="s">
        <v>352</v>
      </c>
      <c r="D17" s="1197">
        <f>SUM(H17:H18)</f>
        <v>7607049</v>
      </c>
      <c r="E17" s="320">
        <v>46034</v>
      </c>
      <c r="F17" s="719" t="s">
        <v>542</v>
      </c>
      <c r="G17" s="719" t="s">
        <v>328</v>
      </c>
      <c r="H17" s="321">
        <v>2927413</v>
      </c>
      <c r="I17" s="322" t="s">
        <v>354</v>
      </c>
      <c r="J17" s="720"/>
    </row>
    <row r="18" spans="2:10" ht="18" thickBot="1">
      <c r="B18" s="1193"/>
      <c r="C18" s="1206"/>
      <c r="D18" s="1207"/>
      <c r="E18" s="726">
        <v>46048</v>
      </c>
      <c r="F18" s="727" t="s">
        <v>543</v>
      </c>
      <c r="G18" s="727" t="s">
        <v>328</v>
      </c>
      <c r="H18" s="728">
        <v>4679636</v>
      </c>
      <c r="I18" s="729" t="s">
        <v>354</v>
      </c>
      <c r="J18" s="730"/>
    </row>
    <row r="19" spans="2:10">
      <c r="B19" s="1191" t="s">
        <v>8</v>
      </c>
      <c r="C19" s="1208" t="s">
        <v>150</v>
      </c>
      <c r="D19" s="1209">
        <f>SUM(H19:H21)</f>
        <v>9399109</v>
      </c>
      <c r="E19" s="320">
        <v>46055</v>
      </c>
      <c r="F19" s="719" t="s">
        <v>544</v>
      </c>
      <c r="G19" s="719" t="s">
        <v>328</v>
      </c>
      <c r="H19" s="321">
        <v>3410286</v>
      </c>
      <c r="I19" s="323" t="s">
        <v>354</v>
      </c>
      <c r="J19" s="720"/>
    </row>
    <row r="20" spans="2:10">
      <c r="B20" s="1192"/>
      <c r="C20" s="1195"/>
      <c r="D20" s="1198"/>
      <c r="E20" s="320">
        <v>46064</v>
      </c>
      <c r="F20" s="719" t="s">
        <v>545</v>
      </c>
      <c r="G20" s="719" t="s">
        <v>328</v>
      </c>
      <c r="H20" s="321">
        <v>3183939</v>
      </c>
      <c r="I20" s="322" t="s">
        <v>354</v>
      </c>
      <c r="J20" s="720"/>
    </row>
    <row r="21" spans="2:10">
      <c r="B21" s="1192"/>
      <c r="C21" s="1196"/>
      <c r="D21" s="1199"/>
      <c r="E21" s="320">
        <v>46079</v>
      </c>
      <c r="F21" s="719" t="s">
        <v>546</v>
      </c>
      <c r="G21" s="719" t="s">
        <v>328</v>
      </c>
      <c r="H21" s="321">
        <v>2804884</v>
      </c>
      <c r="I21" s="322" t="s">
        <v>354</v>
      </c>
      <c r="J21" s="720"/>
    </row>
    <row r="22" spans="2:10">
      <c r="B22" s="1192"/>
      <c r="C22" s="1194" t="s">
        <v>252</v>
      </c>
      <c r="D22" s="1197">
        <f>SUM(H22:H26)</f>
        <v>15195000</v>
      </c>
      <c r="E22" s="320">
        <v>46056</v>
      </c>
      <c r="F22" s="719" t="s">
        <v>350</v>
      </c>
      <c r="G22" s="719" t="s">
        <v>351</v>
      </c>
      <c r="H22" s="321">
        <v>4950000</v>
      </c>
      <c r="I22" s="322" t="s">
        <v>354</v>
      </c>
      <c r="J22" s="720"/>
    </row>
    <row r="23" spans="2:10">
      <c r="B23" s="1192"/>
      <c r="C23" s="1195"/>
      <c r="D23" s="1198"/>
      <c r="E23" s="320">
        <v>46063</v>
      </c>
      <c r="F23" s="719" t="s">
        <v>547</v>
      </c>
      <c r="G23" s="719" t="s">
        <v>355</v>
      </c>
      <c r="H23" s="321">
        <v>6160000</v>
      </c>
      <c r="I23" s="322" t="s">
        <v>354</v>
      </c>
      <c r="J23" s="720"/>
    </row>
    <row r="24" spans="2:10" ht="18">
      <c r="B24" s="1192"/>
      <c r="C24" s="1195"/>
      <c r="D24" s="1198"/>
      <c r="E24" s="320">
        <v>46063</v>
      </c>
      <c r="F24" s="719" t="s">
        <v>548</v>
      </c>
      <c r="G24" s="719" t="s">
        <v>549</v>
      </c>
      <c r="H24" s="321">
        <v>660000</v>
      </c>
      <c r="I24" s="322" t="s">
        <v>354</v>
      </c>
      <c r="J24" s="720" t="s">
        <v>527</v>
      </c>
    </row>
    <row r="25" spans="2:10" ht="36">
      <c r="B25" s="1192"/>
      <c r="C25" s="1195"/>
      <c r="D25" s="1198"/>
      <c r="E25" s="320">
        <v>46063</v>
      </c>
      <c r="F25" s="719" t="s">
        <v>550</v>
      </c>
      <c r="G25" s="719" t="s">
        <v>549</v>
      </c>
      <c r="H25" s="321">
        <v>3025000</v>
      </c>
      <c r="I25" s="322" t="s">
        <v>354</v>
      </c>
      <c r="J25" s="720" t="s">
        <v>551</v>
      </c>
    </row>
    <row r="26" spans="2:10">
      <c r="B26" s="1192"/>
      <c r="C26" s="1196"/>
      <c r="D26" s="1199"/>
      <c r="E26" s="320">
        <v>46076</v>
      </c>
      <c r="F26" s="719" t="s">
        <v>528</v>
      </c>
      <c r="G26" s="719" t="s">
        <v>353</v>
      </c>
      <c r="H26" s="321">
        <v>400000</v>
      </c>
      <c r="I26" s="322" t="s">
        <v>354</v>
      </c>
      <c r="J26" s="720"/>
    </row>
    <row r="27" spans="2:10" ht="18">
      <c r="B27" s="1192"/>
      <c r="C27" s="1200" t="s">
        <v>256</v>
      </c>
      <c r="D27" s="1203">
        <f>SUM(H27:H31)-H27</f>
        <v>1181590</v>
      </c>
      <c r="E27" s="731">
        <v>46063</v>
      </c>
      <c r="F27" s="732" t="s">
        <v>552</v>
      </c>
      <c r="G27" s="732" t="s">
        <v>340</v>
      </c>
      <c r="H27" s="733">
        <v>549900</v>
      </c>
      <c r="I27" s="734" t="s">
        <v>356</v>
      </c>
      <c r="J27" s="735" t="s">
        <v>553</v>
      </c>
    </row>
    <row r="28" spans="2:10" ht="36">
      <c r="B28" s="1192"/>
      <c r="C28" s="1201"/>
      <c r="D28" s="1204"/>
      <c r="E28" s="422">
        <v>46064</v>
      </c>
      <c r="F28" s="723" t="s">
        <v>554</v>
      </c>
      <c r="G28" s="723" t="s">
        <v>555</v>
      </c>
      <c r="H28" s="421">
        <v>1089000</v>
      </c>
      <c r="I28" s="724"/>
      <c r="J28" s="725" t="s">
        <v>556</v>
      </c>
    </row>
    <row r="29" spans="2:10" ht="36">
      <c r="B29" s="1192"/>
      <c r="C29" s="1201"/>
      <c r="D29" s="1204"/>
      <c r="E29" s="422">
        <v>46064</v>
      </c>
      <c r="F29" s="723" t="s">
        <v>535</v>
      </c>
      <c r="G29" s="723" t="s">
        <v>340</v>
      </c>
      <c r="H29" s="421">
        <v>33800</v>
      </c>
      <c r="I29" s="724"/>
      <c r="J29" s="725" t="s">
        <v>557</v>
      </c>
    </row>
    <row r="30" spans="2:10">
      <c r="B30" s="1192"/>
      <c r="C30" s="1201"/>
      <c r="D30" s="1204"/>
      <c r="E30" s="422">
        <v>46079</v>
      </c>
      <c r="F30" s="723" t="s">
        <v>558</v>
      </c>
      <c r="G30" s="723" t="s">
        <v>339</v>
      </c>
      <c r="H30" s="421">
        <v>25990</v>
      </c>
      <c r="I30" s="724"/>
      <c r="J30" s="725"/>
    </row>
    <row r="31" spans="2:10" ht="18">
      <c r="B31" s="1192"/>
      <c r="C31" s="1202"/>
      <c r="D31" s="1205"/>
      <c r="E31" s="422">
        <v>46079</v>
      </c>
      <c r="F31" s="723" t="s">
        <v>559</v>
      </c>
      <c r="G31" s="723" t="s">
        <v>339</v>
      </c>
      <c r="H31" s="421">
        <v>32800</v>
      </c>
      <c r="I31" s="724"/>
      <c r="J31" s="725" t="s">
        <v>560</v>
      </c>
    </row>
    <row r="32" spans="2:10" ht="18">
      <c r="B32" s="1192"/>
      <c r="C32" s="721" t="s">
        <v>561</v>
      </c>
      <c r="D32" s="722">
        <f>SUM(H32)</f>
        <v>100000</v>
      </c>
      <c r="E32" s="320">
        <v>46057</v>
      </c>
      <c r="F32" s="719" t="s">
        <v>562</v>
      </c>
      <c r="G32" s="719" t="s">
        <v>563</v>
      </c>
      <c r="H32" s="321">
        <v>100000</v>
      </c>
      <c r="I32" s="322" t="s">
        <v>354</v>
      </c>
      <c r="J32" s="720" t="s">
        <v>564</v>
      </c>
    </row>
    <row r="33" spans="2:10">
      <c r="B33" s="1192"/>
      <c r="C33" s="736" t="s">
        <v>102</v>
      </c>
      <c r="D33" s="737">
        <f>SUM(H33)</f>
        <v>42000</v>
      </c>
      <c r="E33" s="738">
        <v>46062</v>
      </c>
      <c r="F33" s="739" t="s">
        <v>565</v>
      </c>
      <c r="G33" s="739" t="s">
        <v>566</v>
      </c>
      <c r="H33" s="740">
        <v>42000</v>
      </c>
      <c r="I33" s="741"/>
      <c r="J33" s="742"/>
    </row>
    <row r="34" spans="2:10">
      <c r="B34" s="1192"/>
      <c r="C34" s="721" t="s">
        <v>567</v>
      </c>
      <c r="D34" s="722">
        <f>SUM(H34)</f>
        <v>110000</v>
      </c>
      <c r="E34" s="320">
        <v>46064</v>
      </c>
      <c r="F34" s="719" t="s">
        <v>568</v>
      </c>
      <c r="G34" s="719" t="s">
        <v>569</v>
      </c>
      <c r="H34" s="321">
        <v>110000</v>
      </c>
      <c r="I34" s="322"/>
      <c r="J34" s="720"/>
    </row>
    <row r="35" spans="2:10" ht="18">
      <c r="B35" s="1192"/>
      <c r="C35" s="1210" t="s">
        <v>529</v>
      </c>
      <c r="D35" s="1213">
        <f>SUM(H35:H37)</f>
        <v>19679000</v>
      </c>
      <c r="E35" s="743">
        <v>46063</v>
      </c>
      <c r="F35" s="744" t="s">
        <v>570</v>
      </c>
      <c r="G35" s="744" t="s">
        <v>571</v>
      </c>
      <c r="H35" s="745">
        <v>550000</v>
      </c>
      <c r="I35" s="746" t="s">
        <v>354</v>
      </c>
      <c r="J35" s="747" t="s">
        <v>572</v>
      </c>
    </row>
    <row r="36" spans="2:10" ht="18">
      <c r="B36" s="1192"/>
      <c r="C36" s="1211"/>
      <c r="D36" s="1214"/>
      <c r="E36" s="743">
        <v>46065</v>
      </c>
      <c r="F36" s="744" t="s">
        <v>573</v>
      </c>
      <c r="G36" s="744" t="s">
        <v>357</v>
      </c>
      <c r="H36" s="745">
        <v>8129000</v>
      </c>
      <c r="I36" s="746" t="s">
        <v>354</v>
      </c>
      <c r="J36" s="747" t="s">
        <v>574</v>
      </c>
    </row>
    <row r="37" spans="2:10" ht="18" thickBot="1">
      <c r="B37" s="1193"/>
      <c r="C37" s="1212"/>
      <c r="D37" s="1215"/>
      <c r="E37" s="748">
        <v>46066</v>
      </c>
      <c r="F37" s="749" t="s">
        <v>575</v>
      </c>
      <c r="G37" s="749" t="s">
        <v>571</v>
      </c>
      <c r="H37" s="750">
        <v>11000000</v>
      </c>
      <c r="I37" s="751" t="s">
        <v>354</v>
      </c>
      <c r="J37" s="752"/>
    </row>
    <row r="38" spans="2:10" ht="18">
      <c r="B38" s="1191" t="s">
        <v>9</v>
      </c>
      <c r="C38" s="1208" t="s">
        <v>252</v>
      </c>
      <c r="D38" s="1216">
        <f>SUM(H38:H42)</f>
        <v>14920000</v>
      </c>
      <c r="E38" s="786">
        <v>46084</v>
      </c>
      <c r="F38" s="787" t="s">
        <v>350</v>
      </c>
      <c r="G38" s="788" t="s">
        <v>351</v>
      </c>
      <c r="H38" s="789">
        <v>4950000</v>
      </c>
      <c r="I38" s="790" t="s">
        <v>354</v>
      </c>
      <c r="J38" s="791"/>
    </row>
    <row r="39" spans="2:10">
      <c r="B39" s="1192"/>
      <c r="C39" s="1195"/>
      <c r="D39" s="1217"/>
      <c r="E39" s="792">
        <v>46091</v>
      </c>
      <c r="F39" s="793" t="s">
        <v>614</v>
      </c>
      <c r="G39" s="793" t="s">
        <v>355</v>
      </c>
      <c r="H39" s="794">
        <v>6160000</v>
      </c>
      <c r="I39" s="322" t="s">
        <v>354</v>
      </c>
      <c r="J39" s="720"/>
    </row>
    <row r="40" spans="2:10">
      <c r="B40" s="1192"/>
      <c r="C40" s="1195"/>
      <c r="D40" s="1217"/>
      <c r="E40" s="792">
        <v>46091</v>
      </c>
      <c r="F40" s="793" t="s">
        <v>615</v>
      </c>
      <c r="G40" s="793" t="s">
        <v>549</v>
      </c>
      <c r="H40" s="794">
        <v>660000</v>
      </c>
      <c r="I40" s="322" t="s">
        <v>354</v>
      </c>
      <c r="J40" s="720"/>
    </row>
    <row r="41" spans="2:10">
      <c r="B41" s="1192"/>
      <c r="C41" s="1195"/>
      <c r="D41" s="1217"/>
      <c r="E41" s="792">
        <v>46091</v>
      </c>
      <c r="F41" s="793" t="s">
        <v>616</v>
      </c>
      <c r="G41" s="793" t="s">
        <v>549</v>
      </c>
      <c r="H41" s="794">
        <v>2750000</v>
      </c>
      <c r="I41" s="322" t="s">
        <v>354</v>
      </c>
      <c r="J41" s="720"/>
    </row>
    <row r="42" spans="2:10">
      <c r="B42" s="1192"/>
      <c r="C42" s="1196"/>
      <c r="D42" s="1218"/>
      <c r="E42" s="795">
        <v>46104</v>
      </c>
      <c r="F42" s="796" t="s">
        <v>528</v>
      </c>
      <c r="G42" s="797" t="s">
        <v>353</v>
      </c>
      <c r="H42" s="794">
        <v>400000</v>
      </c>
      <c r="I42" s="322" t="s">
        <v>354</v>
      </c>
      <c r="J42" s="720"/>
    </row>
    <row r="43" spans="2:10">
      <c r="B43" s="1192"/>
      <c r="C43" s="1194" t="s">
        <v>352</v>
      </c>
      <c r="D43" s="1219">
        <f>SUM(H43:H45)</f>
        <v>14535824</v>
      </c>
      <c r="E43" s="798">
        <v>46090</v>
      </c>
      <c r="F43" s="799" t="s">
        <v>617</v>
      </c>
      <c r="G43" s="793" t="s">
        <v>328</v>
      </c>
      <c r="H43" s="794">
        <v>5350633</v>
      </c>
      <c r="I43" s="322" t="s">
        <v>354</v>
      </c>
      <c r="J43" s="720"/>
    </row>
    <row r="44" spans="2:10">
      <c r="B44" s="1192"/>
      <c r="C44" s="1195"/>
      <c r="D44" s="1220"/>
      <c r="E44" s="792">
        <v>46097</v>
      </c>
      <c r="F44" s="793" t="s">
        <v>618</v>
      </c>
      <c r="G44" s="793" t="s">
        <v>328</v>
      </c>
      <c r="H44" s="794">
        <v>5145408</v>
      </c>
      <c r="I44" s="322" t="s">
        <v>354</v>
      </c>
      <c r="J44" s="720"/>
    </row>
    <row r="45" spans="2:10">
      <c r="B45" s="1192"/>
      <c r="C45" s="1196"/>
      <c r="D45" s="1221"/>
      <c r="E45" s="798">
        <v>46107</v>
      </c>
      <c r="F45" s="799" t="s">
        <v>619</v>
      </c>
      <c r="G45" s="797" t="s">
        <v>328</v>
      </c>
      <c r="H45" s="794">
        <v>4039783</v>
      </c>
      <c r="I45" s="322" t="s">
        <v>354</v>
      </c>
      <c r="J45" s="720"/>
    </row>
    <row r="46" spans="2:10" ht="18">
      <c r="B46" s="1192"/>
      <c r="C46" s="721" t="s">
        <v>170</v>
      </c>
      <c r="D46" s="800">
        <f>SUM(H46)</f>
        <v>411000</v>
      </c>
      <c r="E46" s="792">
        <v>46093</v>
      </c>
      <c r="F46" s="793" t="s">
        <v>620</v>
      </c>
      <c r="G46" s="793" t="s">
        <v>621</v>
      </c>
      <c r="H46" s="794">
        <v>411000</v>
      </c>
      <c r="I46" s="322" t="s">
        <v>354</v>
      </c>
      <c r="J46" s="720" t="s">
        <v>622</v>
      </c>
    </row>
    <row r="47" spans="2:10">
      <c r="B47" s="1192"/>
      <c r="C47" s="1222" t="s">
        <v>256</v>
      </c>
      <c r="D47" s="1225">
        <f>SUM(H47:H52)</f>
        <v>290230</v>
      </c>
      <c r="E47" s="801">
        <v>46093</v>
      </c>
      <c r="F47" s="802" t="s">
        <v>623</v>
      </c>
      <c r="G47" s="802" t="s">
        <v>339</v>
      </c>
      <c r="H47" s="803">
        <v>15190</v>
      </c>
      <c r="I47" s="804"/>
      <c r="J47" s="805"/>
    </row>
    <row r="48" spans="2:10" ht="18">
      <c r="B48" s="1192"/>
      <c r="C48" s="1223"/>
      <c r="D48" s="1226"/>
      <c r="E48" s="801">
        <v>46099</v>
      </c>
      <c r="F48" s="806" t="s">
        <v>624</v>
      </c>
      <c r="G48" s="807" t="s">
        <v>625</v>
      </c>
      <c r="H48" s="803">
        <v>106360</v>
      </c>
      <c r="I48" s="808"/>
      <c r="J48" s="809" t="s">
        <v>626</v>
      </c>
    </row>
    <row r="49" spans="2:10">
      <c r="B49" s="1192"/>
      <c r="C49" s="1223"/>
      <c r="D49" s="1226"/>
      <c r="E49" s="801">
        <v>46099</v>
      </c>
      <c r="F49" s="810" t="s">
        <v>624</v>
      </c>
      <c r="G49" s="811" t="s">
        <v>343</v>
      </c>
      <c r="H49" s="803">
        <v>106240</v>
      </c>
      <c r="I49" s="808"/>
      <c r="J49" s="812" t="s">
        <v>626</v>
      </c>
    </row>
    <row r="50" spans="2:10">
      <c r="B50" s="1192"/>
      <c r="C50" s="1223"/>
      <c r="D50" s="1226"/>
      <c r="E50" s="801">
        <v>46099</v>
      </c>
      <c r="F50" s="802" t="s">
        <v>627</v>
      </c>
      <c r="G50" s="802" t="s">
        <v>339</v>
      </c>
      <c r="H50" s="803">
        <v>25130</v>
      </c>
      <c r="I50" s="813"/>
      <c r="J50" s="814"/>
    </row>
    <row r="51" spans="2:10">
      <c r="B51" s="1192"/>
      <c r="C51" s="1223"/>
      <c r="D51" s="1226"/>
      <c r="E51" s="815">
        <v>46107</v>
      </c>
      <c r="F51" s="802" t="s">
        <v>628</v>
      </c>
      <c r="G51" s="802" t="s">
        <v>343</v>
      </c>
      <c r="H51" s="803">
        <v>31360</v>
      </c>
      <c r="I51" s="808"/>
      <c r="J51" s="814"/>
    </row>
    <row r="52" spans="2:10">
      <c r="B52" s="1192"/>
      <c r="C52" s="1224"/>
      <c r="D52" s="1227"/>
      <c r="E52" s="815">
        <v>46107</v>
      </c>
      <c r="F52" s="802" t="s">
        <v>629</v>
      </c>
      <c r="G52" s="802" t="s">
        <v>339</v>
      </c>
      <c r="H52" s="803">
        <v>5950</v>
      </c>
      <c r="I52" s="808"/>
      <c r="J52" s="814"/>
    </row>
    <row r="53" spans="2:10" ht="19" thickBot="1">
      <c r="B53" s="1193"/>
      <c r="C53" s="816" t="s">
        <v>224</v>
      </c>
      <c r="D53" s="817">
        <f>SUM(H53)</f>
        <v>3190000</v>
      </c>
      <c r="E53" s="818">
        <v>46108</v>
      </c>
      <c r="F53" s="819" t="s">
        <v>630</v>
      </c>
      <c r="G53" s="819" t="s">
        <v>631</v>
      </c>
      <c r="H53" s="820">
        <v>3190000</v>
      </c>
      <c r="I53" s="729" t="s">
        <v>632</v>
      </c>
      <c r="J53" s="730" t="s">
        <v>633</v>
      </c>
    </row>
    <row r="54" spans="2:10" hidden="1">
      <c r="B54" s="821"/>
      <c r="C54" s="774"/>
      <c r="D54" s="822"/>
      <c r="E54" s="320"/>
      <c r="F54" s="719"/>
      <c r="G54" s="719"/>
      <c r="H54" s="321"/>
      <c r="I54" s="323"/>
      <c r="J54" s="720"/>
    </row>
    <row r="55" spans="2:10" hidden="1">
      <c r="B55" s="821"/>
      <c r="C55" s="721"/>
      <c r="D55" s="823"/>
      <c r="E55" s="320"/>
      <c r="F55" s="719"/>
      <c r="G55" s="719"/>
      <c r="H55" s="321"/>
      <c r="I55" s="322"/>
      <c r="J55" s="720"/>
    </row>
    <row r="56" spans="2:10" hidden="1">
      <c r="B56" s="821"/>
      <c r="C56" s="721"/>
      <c r="D56" s="823"/>
      <c r="E56" s="320"/>
      <c r="F56" s="719"/>
      <c r="G56" s="719"/>
      <c r="H56" s="321"/>
      <c r="I56" s="322"/>
      <c r="J56" s="720"/>
    </row>
    <row r="57" spans="2:10" hidden="1">
      <c r="B57" s="821"/>
      <c r="C57" s="721"/>
      <c r="D57" s="823"/>
      <c r="E57" s="320"/>
      <c r="F57" s="719"/>
      <c r="G57" s="719"/>
      <c r="H57" s="321"/>
      <c r="I57" s="322"/>
      <c r="J57" s="720"/>
    </row>
    <row r="58" spans="2:10" hidden="1">
      <c r="B58" s="821"/>
      <c r="C58" s="721"/>
      <c r="D58" s="823"/>
      <c r="E58" s="320"/>
      <c r="F58" s="719"/>
      <c r="G58" s="719"/>
      <c r="H58" s="321"/>
      <c r="I58" s="322"/>
      <c r="J58" s="720"/>
    </row>
    <row r="59" spans="2:10" hidden="1">
      <c r="B59" s="821"/>
      <c r="C59" s="721"/>
      <c r="D59" s="721"/>
      <c r="E59" s="307"/>
      <c r="F59" s="824"/>
      <c r="G59" s="307"/>
      <c r="H59" s="307"/>
      <c r="I59" s="322"/>
      <c r="J59" s="720"/>
    </row>
    <row r="60" spans="2:10" hidden="1">
      <c r="B60" s="821"/>
      <c r="C60" s="721"/>
      <c r="D60" s="823"/>
      <c r="E60" s="825"/>
      <c r="F60" s="719"/>
      <c r="G60" s="719"/>
      <c r="H60" s="321"/>
      <c r="I60" s="322"/>
      <c r="J60" s="720"/>
    </row>
    <row r="61" spans="2:10" hidden="1">
      <c r="B61" s="821"/>
      <c r="C61" s="721"/>
      <c r="D61" s="823"/>
      <c r="E61" s="320"/>
      <c r="F61" s="719"/>
      <c r="G61" s="719"/>
      <c r="H61" s="321"/>
      <c r="I61" s="322"/>
      <c r="J61" s="720"/>
    </row>
    <row r="62" spans="2:10">
      <c r="B62" s="1191" t="s">
        <v>12</v>
      </c>
      <c r="C62" s="1228" t="s">
        <v>256</v>
      </c>
      <c r="D62" s="1232">
        <f>SUM(H62:H66)</f>
        <v>417530</v>
      </c>
      <c r="E62" s="847">
        <v>46114</v>
      </c>
      <c r="F62" s="848" t="s">
        <v>658</v>
      </c>
      <c r="G62" s="848" t="s">
        <v>339</v>
      </c>
      <c r="H62" s="849">
        <v>13640</v>
      </c>
      <c r="I62" s="790"/>
      <c r="J62" s="850"/>
    </row>
    <row r="63" spans="2:10" ht="18">
      <c r="B63" s="1192"/>
      <c r="C63" s="1201"/>
      <c r="D63" s="1204"/>
      <c r="E63" s="422">
        <v>46115</v>
      </c>
      <c r="F63" s="723" t="s">
        <v>659</v>
      </c>
      <c r="G63" s="723" t="s">
        <v>340</v>
      </c>
      <c r="H63" s="421">
        <v>45810</v>
      </c>
      <c r="I63" s="322"/>
      <c r="J63" s="851" t="s">
        <v>690</v>
      </c>
    </row>
    <row r="64" spans="2:10" ht="18">
      <c r="B64" s="1192"/>
      <c r="C64" s="1201"/>
      <c r="D64" s="1204"/>
      <c r="E64" s="422">
        <v>46115</v>
      </c>
      <c r="F64" s="723" t="s">
        <v>660</v>
      </c>
      <c r="G64" s="723" t="s">
        <v>340</v>
      </c>
      <c r="H64" s="421">
        <v>165180</v>
      </c>
      <c r="I64" s="322"/>
      <c r="J64" s="851" t="s">
        <v>691</v>
      </c>
    </row>
    <row r="65" spans="2:10">
      <c r="B65" s="1192"/>
      <c r="C65" s="1201"/>
      <c r="D65" s="1204"/>
      <c r="E65" s="422">
        <v>46115</v>
      </c>
      <c r="F65" s="723" t="s">
        <v>661</v>
      </c>
      <c r="G65" s="723" t="s">
        <v>339</v>
      </c>
      <c r="H65" s="421">
        <v>12900</v>
      </c>
      <c r="I65" s="322"/>
      <c r="J65" s="851"/>
    </row>
    <row r="66" spans="2:10">
      <c r="B66" s="1192"/>
      <c r="C66" s="1201"/>
      <c r="D66" s="1205"/>
      <c r="E66" s="422">
        <v>46122</v>
      </c>
      <c r="F66" s="723" t="s">
        <v>539</v>
      </c>
      <c r="G66" s="723" t="s">
        <v>340</v>
      </c>
      <c r="H66" s="421">
        <v>180000</v>
      </c>
      <c r="I66" s="322"/>
      <c r="J66" s="851"/>
    </row>
    <row r="67" spans="2:10" ht="18">
      <c r="B67" s="1192"/>
      <c r="C67" s="1201"/>
      <c r="D67" s="1204">
        <f>SUM(H67:H68)</f>
        <v>273900</v>
      </c>
      <c r="E67" s="422">
        <v>46128</v>
      </c>
      <c r="F67" s="723" t="s">
        <v>662</v>
      </c>
      <c r="G67" s="723" t="s">
        <v>663</v>
      </c>
      <c r="H67" s="421">
        <v>165000</v>
      </c>
      <c r="I67" s="322" t="s">
        <v>354</v>
      </c>
      <c r="J67" s="851" t="s">
        <v>664</v>
      </c>
    </row>
    <row r="68" spans="2:10" ht="18">
      <c r="B68" s="1192"/>
      <c r="C68" s="1202"/>
      <c r="D68" s="1205"/>
      <c r="E68" s="422">
        <v>46139</v>
      </c>
      <c r="F68" s="723" t="s">
        <v>665</v>
      </c>
      <c r="G68" s="723" t="s">
        <v>666</v>
      </c>
      <c r="H68" s="421">
        <v>108900</v>
      </c>
      <c r="I68" s="322" t="s">
        <v>354</v>
      </c>
      <c r="J68" s="851" t="s">
        <v>667</v>
      </c>
    </row>
    <row r="69" spans="2:10">
      <c r="B69" s="1192"/>
      <c r="C69" s="1194" t="s">
        <v>252</v>
      </c>
      <c r="D69" s="1197">
        <f>SUM(H69:H73)</f>
        <v>16372000</v>
      </c>
      <c r="E69" s="320">
        <v>46115</v>
      </c>
      <c r="F69" s="719" t="s">
        <v>350</v>
      </c>
      <c r="G69" s="719" t="s">
        <v>351</v>
      </c>
      <c r="H69" s="321">
        <v>4950000</v>
      </c>
      <c r="I69" s="322" t="s">
        <v>354</v>
      </c>
      <c r="J69" s="852"/>
    </row>
    <row r="70" spans="2:10">
      <c r="B70" s="1192"/>
      <c r="C70" s="1195"/>
      <c r="D70" s="1195"/>
      <c r="E70" s="320">
        <v>46122</v>
      </c>
      <c r="F70" s="719" t="s">
        <v>668</v>
      </c>
      <c r="G70" s="719" t="s">
        <v>355</v>
      </c>
      <c r="H70" s="321">
        <v>6160000</v>
      </c>
      <c r="I70" s="322" t="s">
        <v>354</v>
      </c>
      <c r="J70" s="852"/>
    </row>
    <row r="71" spans="2:10" ht="18">
      <c r="B71" s="1192"/>
      <c r="C71" s="1195"/>
      <c r="D71" s="1195"/>
      <c r="E71" s="320">
        <v>46122</v>
      </c>
      <c r="F71" s="719" t="s">
        <v>669</v>
      </c>
      <c r="G71" s="719" t="s">
        <v>549</v>
      </c>
      <c r="H71" s="321">
        <v>2750000</v>
      </c>
      <c r="I71" s="322" t="s">
        <v>354</v>
      </c>
      <c r="J71" s="852" t="s">
        <v>670</v>
      </c>
    </row>
    <row r="72" spans="2:10" ht="36">
      <c r="B72" s="1192"/>
      <c r="C72" s="1195"/>
      <c r="D72" s="1195"/>
      <c r="E72" s="320">
        <v>46122</v>
      </c>
      <c r="F72" s="719" t="s">
        <v>671</v>
      </c>
      <c r="G72" s="719" t="s">
        <v>549</v>
      </c>
      <c r="H72" s="321">
        <v>2112000</v>
      </c>
      <c r="I72" s="322" t="s">
        <v>354</v>
      </c>
      <c r="J72" s="852" t="s">
        <v>672</v>
      </c>
    </row>
    <row r="73" spans="2:10">
      <c r="B73" s="1192"/>
      <c r="C73" s="1196"/>
      <c r="D73" s="1196"/>
      <c r="E73" s="320">
        <v>46136</v>
      </c>
      <c r="F73" s="719" t="s">
        <v>528</v>
      </c>
      <c r="G73" s="719" t="s">
        <v>353</v>
      </c>
      <c r="H73" s="321">
        <v>400000</v>
      </c>
      <c r="I73" s="322" t="s">
        <v>354</v>
      </c>
      <c r="J73" s="852"/>
    </row>
    <row r="74" spans="2:10">
      <c r="B74" s="1192"/>
      <c r="C74" s="1229" t="s">
        <v>102</v>
      </c>
      <c r="D74" s="1231">
        <f>SUM(H74:H75)</f>
        <v>134700</v>
      </c>
      <c r="E74" s="738">
        <v>46115</v>
      </c>
      <c r="F74" s="739" t="s">
        <v>565</v>
      </c>
      <c r="G74" s="739" t="s">
        <v>566</v>
      </c>
      <c r="H74" s="740">
        <v>30000</v>
      </c>
      <c r="I74" s="322"/>
      <c r="J74" s="853"/>
    </row>
    <row r="75" spans="2:10" ht="18">
      <c r="B75" s="1192"/>
      <c r="C75" s="1230"/>
      <c r="D75" s="1230"/>
      <c r="E75" s="738">
        <v>46128</v>
      </c>
      <c r="F75" s="739" t="s">
        <v>673</v>
      </c>
      <c r="G75" s="739" t="s">
        <v>674</v>
      </c>
      <c r="H75" s="740">
        <v>104700</v>
      </c>
      <c r="I75" s="322"/>
      <c r="J75" s="853" t="s">
        <v>675</v>
      </c>
    </row>
    <row r="76" spans="2:10">
      <c r="B76" s="1192"/>
      <c r="C76" s="1194" t="s">
        <v>352</v>
      </c>
      <c r="D76" s="1197">
        <f>SUM(H76:H78)</f>
        <v>13646186</v>
      </c>
      <c r="E76" s="320">
        <v>46119</v>
      </c>
      <c r="F76" s="719" t="s">
        <v>676</v>
      </c>
      <c r="G76" s="719" t="s">
        <v>328</v>
      </c>
      <c r="H76" s="321">
        <v>4811394</v>
      </c>
      <c r="I76" s="322" t="s">
        <v>354</v>
      </c>
      <c r="J76" s="852"/>
    </row>
    <row r="77" spans="2:10">
      <c r="B77" s="1192"/>
      <c r="C77" s="1195"/>
      <c r="D77" s="1195"/>
      <c r="E77" s="320">
        <v>46128</v>
      </c>
      <c r="F77" s="719" t="s">
        <v>677</v>
      </c>
      <c r="G77" s="719" t="s">
        <v>328</v>
      </c>
      <c r="H77" s="321">
        <v>4237081</v>
      </c>
      <c r="I77" s="322" t="s">
        <v>354</v>
      </c>
      <c r="J77" s="852"/>
    </row>
    <row r="78" spans="2:10">
      <c r="B78" s="1192"/>
      <c r="C78" s="1196"/>
      <c r="D78" s="1196"/>
      <c r="E78" s="320">
        <v>46139</v>
      </c>
      <c r="F78" s="719" t="s">
        <v>678</v>
      </c>
      <c r="G78" s="719" t="s">
        <v>328</v>
      </c>
      <c r="H78" s="321">
        <v>4597711</v>
      </c>
      <c r="I78" s="322" t="s">
        <v>354</v>
      </c>
      <c r="J78" s="852"/>
    </row>
    <row r="79" spans="2:10" ht="18">
      <c r="B79" s="1192"/>
      <c r="C79" s="1194" t="s">
        <v>567</v>
      </c>
      <c r="D79" s="1197">
        <f>SUM(H79:H80)</f>
        <v>24000</v>
      </c>
      <c r="E79" s="320">
        <v>46126</v>
      </c>
      <c r="F79" s="719" t="s">
        <v>679</v>
      </c>
      <c r="G79" s="719" t="s">
        <v>680</v>
      </c>
      <c r="H79" s="321">
        <v>12000</v>
      </c>
      <c r="I79" s="322"/>
      <c r="J79" s="852" t="s">
        <v>681</v>
      </c>
    </row>
    <row r="80" spans="2:10" ht="36">
      <c r="B80" s="1192"/>
      <c r="C80" s="1196"/>
      <c r="D80" s="1196"/>
      <c r="E80" s="320">
        <v>46133</v>
      </c>
      <c r="F80" s="719" t="s">
        <v>679</v>
      </c>
      <c r="G80" s="719" t="s">
        <v>682</v>
      </c>
      <c r="H80" s="321">
        <v>12000</v>
      </c>
      <c r="I80" s="322"/>
      <c r="J80" s="852" t="s">
        <v>683</v>
      </c>
    </row>
    <row r="81" spans="2:10">
      <c r="B81" s="1192"/>
      <c r="C81" s="721" t="s">
        <v>105</v>
      </c>
      <c r="D81" s="722">
        <f>SUM(H81)</f>
        <v>987830</v>
      </c>
      <c r="E81" s="320">
        <v>46135</v>
      </c>
      <c r="F81" s="719" t="s">
        <v>684</v>
      </c>
      <c r="G81" s="719" t="s">
        <v>685</v>
      </c>
      <c r="H81" s="321">
        <v>987830</v>
      </c>
      <c r="I81" s="322" t="s">
        <v>354</v>
      </c>
      <c r="J81" s="852"/>
    </row>
    <row r="82" spans="2:10" ht="18">
      <c r="B82" s="1192"/>
      <c r="C82" s="721" t="s">
        <v>123</v>
      </c>
      <c r="D82" s="722">
        <f>SUM(H82)</f>
        <v>6317784</v>
      </c>
      <c r="E82" s="320">
        <v>46135</v>
      </c>
      <c r="F82" s="719" t="s">
        <v>686</v>
      </c>
      <c r="G82" s="719" t="s">
        <v>72</v>
      </c>
      <c r="H82" s="321">
        <v>6317784</v>
      </c>
      <c r="I82" s="322" t="s">
        <v>354</v>
      </c>
      <c r="J82" s="852" t="s">
        <v>687</v>
      </c>
    </row>
    <row r="83" spans="2:10" ht="19" thickBot="1">
      <c r="B83" s="1193"/>
      <c r="C83" s="854" t="s">
        <v>170</v>
      </c>
      <c r="D83" s="855">
        <f>SUM(H83)</f>
        <v>157500</v>
      </c>
      <c r="E83" s="726">
        <v>46135</v>
      </c>
      <c r="F83" s="727" t="s">
        <v>688</v>
      </c>
      <c r="G83" s="727" t="s">
        <v>621</v>
      </c>
      <c r="H83" s="728">
        <v>157500</v>
      </c>
      <c r="I83" s="729" t="s">
        <v>354</v>
      </c>
      <c r="J83" s="856" t="s">
        <v>689</v>
      </c>
    </row>
    <row r="84" spans="2:10">
      <c r="B84" s="1191" t="s">
        <v>341</v>
      </c>
      <c r="C84" s="1233" t="s">
        <v>352</v>
      </c>
      <c r="D84" s="1235">
        <f>SUM(H84:H86)</f>
        <v>12557580</v>
      </c>
      <c r="E84" s="1004">
        <v>46146</v>
      </c>
      <c r="F84" s="1005" t="s">
        <v>993</v>
      </c>
      <c r="G84" s="1005" t="s">
        <v>328</v>
      </c>
      <c r="H84" s="1006">
        <v>4770840</v>
      </c>
      <c r="I84" s="1016" t="s">
        <v>354</v>
      </c>
      <c r="J84" s="1007"/>
    </row>
    <row r="85" spans="2:10">
      <c r="B85" s="1192"/>
      <c r="C85" s="1234"/>
      <c r="D85" s="1236"/>
      <c r="E85" s="320">
        <v>46156</v>
      </c>
      <c r="F85" s="719" t="s">
        <v>994</v>
      </c>
      <c r="G85" s="719" t="s">
        <v>328</v>
      </c>
      <c r="H85" s="321">
        <v>3464971</v>
      </c>
      <c r="I85" s="1017" t="s">
        <v>354</v>
      </c>
      <c r="J85" s="1008"/>
    </row>
    <row r="86" spans="2:10">
      <c r="B86" s="1192"/>
      <c r="C86" s="1234"/>
      <c r="D86" s="1236"/>
      <c r="E86" s="320">
        <v>46170</v>
      </c>
      <c r="F86" s="719" t="s">
        <v>995</v>
      </c>
      <c r="G86" s="719" t="s">
        <v>328</v>
      </c>
      <c r="H86" s="321">
        <v>4321769</v>
      </c>
      <c r="I86" s="1017" t="s">
        <v>354</v>
      </c>
      <c r="J86" s="1008"/>
    </row>
    <row r="87" spans="2:10">
      <c r="B87" s="1192"/>
      <c r="C87" s="1234" t="s">
        <v>252</v>
      </c>
      <c r="D87" s="1236">
        <f>SUM(H87:H90)</f>
        <v>15690000</v>
      </c>
      <c r="E87" s="320">
        <v>46148</v>
      </c>
      <c r="F87" s="719" t="s">
        <v>350</v>
      </c>
      <c r="G87" s="719" t="s">
        <v>351</v>
      </c>
      <c r="H87" s="321">
        <v>4950000</v>
      </c>
      <c r="I87" s="1017" t="s">
        <v>354</v>
      </c>
      <c r="J87" s="1008"/>
    </row>
    <row r="88" spans="2:10">
      <c r="B88" s="1192"/>
      <c r="C88" s="1234"/>
      <c r="D88" s="1234"/>
      <c r="E88" s="320">
        <v>46154</v>
      </c>
      <c r="F88" s="719" t="s">
        <v>996</v>
      </c>
      <c r="G88" s="719" t="s">
        <v>355</v>
      </c>
      <c r="H88" s="321">
        <v>6160000</v>
      </c>
      <c r="I88" s="1017" t="s">
        <v>354</v>
      </c>
      <c r="J88" s="1008"/>
    </row>
    <row r="89" spans="2:10" ht="36">
      <c r="B89" s="1192"/>
      <c r="C89" s="1234"/>
      <c r="D89" s="1234"/>
      <c r="E89" s="320">
        <v>46154</v>
      </c>
      <c r="F89" s="719" t="s">
        <v>997</v>
      </c>
      <c r="G89" s="719" t="s">
        <v>549</v>
      </c>
      <c r="H89" s="321">
        <v>4180000.0000000005</v>
      </c>
      <c r="I89" s="1017" t="s">
        <v>354</v>
      </c>
      <c r="J89" s="1009" t="s">
        <v>998</v>
      </c>
    </row>
    <row r="90" spans="2:10" ht="18">
      <c r="B90" s="1192"/>
      <c r="C90" s="1234"/>
      <c r="D90" s="1234"/>
      <c r="E90" s="320">
        <v>46164</v>
      </c>
      <c r="F90" s="719" t="s">
        <v>999</v>
      </c>
      <c r="G90" s="719" t="s">
        <v>353</v>
      </c>
      <c r="H90" s="321">
        <v>400000</v>
      </c>
      <c r="I90" s="1017" t="s">
        <v>354</v>
      </c>
      <c r="J90" s="1009" t="s">
        <v>1000</v>
      </c>
    </row>
    <row r="91" spans="2:10" ht="18">
      <c r="B91" s="1192"/>
      <c r="C91" s="721" t="s">
        <v>123</v>
      </c>
      <c r="D91" s="722">
        <f>SUM(H91)</f>
        <v>6801108</v>
      </c>
      <c r="E91" s="320">
        <v>46150</v>
      </c>
      <c r="F91" s="719" t="s">
        <v>1001</v>
      </c>
      <c r="G91" s="719" t="s">
        <v>124</v>
      </c>
      <c r="H91" s="321">
        <v>6801108</v>
      </c>
      <c r="I91" s="322" t="s">
        <v>354</v>
      </c>
      <c r="J91" s="852" t="s">
        <v>1002</v>
      </c>
    </row>
    <row r="92" spans="2:10">
      <c r="B92" s="1192"/>
      <c r="C92" s="721" t="s">
        <v>107</v>
      </c>
      <c r="D92" s="722">
        <f>SUM(H92)</f>
        <v>1167870</v>
      </c>
      <c r="E92" s="320">
        <v>46150</v>
      </c>
      <c r="F92" s="719" t="s">
        <v>1003</v>
      </c>
      <c r="G92" s="719" t="s">
        <v>1004</v>
      </c>
      <c r="H92" s="321">
        <v>1167870</v>
      </c>
      <c r="I92" s="322" t="s">
        <v>354</v>
      </c>
      <c r="J92" s="1008"/>
    </row>
    <row r="93" spans="2:10">
      <c r="B93" s="1192"/>
      <c r="C93" s="1237" t="s">
        <v>256</v>
      </c>
      <c r="D93" s="1239">
        <f>SUM(H93:H102)</f>
        <v>696530</v>
      </c>
      <c r="E93" s="422">
        <v>46156</v>
      </c>
      <c r="F93" s="723" t="s">
        <v>1005</v>
      </c>
      <c r="G93" s="723" t="s">
        <v>339</v>
      </c>
      <c r="H93" s="421">
        <v>90750</v>
      </c>
      <c r="I93" s="724"/>
      <c r="J93" s="1010"/>
    </row>
    <row r="94" spans="2:10">
      <c r="B94" s="1192"/>
      <c r="C94" s="1237"/>
      <c r="D94" s="1237"/>
      <c r="E94" s="422">
        <v>46161</v>
      </c>
      <c r="F94" s="723" t="s">
        <v>1006</v>
      </c>
      <c r="G94" s="723" t="s">
        <v>340</v>
      </c>
      <c r="H94" s="421">
        <v>69900</v>
      </c>
      <c r="I94" s="724"/>
      <c r="J94" s="1010"/>
    </row>
    <row r="95" spans="2:10">
      <c r="B95" s="1192"/>
      <c r="C95" s="1237"/>
      <c r="D95" s="1237"/>
      <c r="E95" s="422">
        <v>46161</v>
      </c>
      <c r="F95" s="723" t="s">
        <v>1007</v>
      </c>
      <c r="G95" s="723" t="s">
        <v>340</v>
      </c>
      <c r="H95" s="421">
        <v>23000</v>
      </c>
      <c r="I95" s="724"/>
      <c r="J95" s="1010"/>
    </row>
    <row r="96" spans="2:10" ht="18">
      <c r="B96" s="1192"/>
      <c r="C96" s="1237"/>
      <c r="D96" s="1237"/>
      <c r="E96" s="422">
        <v>46161</v>
      </c>
      <c r="F96" s="723" t="s">
        <v>1008</v>
      </c>
      <c r="G96" s="723" t="s">
        <v>339</v>
      </c>
      <c r="H96" s="421">
        <v>115800</v>
      </c>
      <c r="I96" s="724"/>
      <c r="J96" s="1011" t="s">
        <v>531</v>
      </c>
    </row>
    <row r="97" spans="2:10">
      <c r="B97" s="1192"/>
      <c r="C97" s="1237"/>
      <c r="D97" s="1237"/>
      <c r="E97" s="422">
        <v>46161</v>
      </c>
      <c r="F97" s="723" t="s">
        <v>1009</v>
      </c>
      <c r="G97" s="723" t="s">
        <v>339</v>
      </c>
      <c r="H97" s="421">
        <v>13490</v>
      </c>
      <c r="I97" s="724"/>
      <c r="J97" s="1010"/>
    </row>
    <row r="98" spans="2:10">
      <c r="B98" s="1192"/>
      <c r="C98" s="1237"/>
      <c r="D98" s="1237"/>
      <c r="E98" s="422">
        <v>46168</v>
      </c>
      <c r="F98" s="723" t="s">
        <v>1010</v>
      </c>
      <c r="G98" s="723" t="s">
        <v>339</v>
      </c>
      <c r="H98" s="421">
        <v>5990</v>
      </c>
      <c r="I98" s="724"/>
      <c r="J98" s="1010"/>
    </row>
    <row r="99" spans="2:10">
      <c r="B99" s="1192"/>
      <c r="C99" s="1237"/>
      <c r="D99" s="1237"/>
      <c r="E99" s="422">
        <v>46168</v>
      </c>
      <c r="F99" s="723" t="s">
        <v>1011</v>
      </c>
      <c r="G99" s="723" t="s">
        <v>340</v>
      </c>
      <c r="H99" s="421">
        <v>58200</v>
      </c>
      <c r="I99" s="724"/>
      <c r="J99" s="1010"/>
    </row>
    <row r="100" spans="2:10">
      <c r="B100" s="1192"/>
      <c r="C100" s="1237"/>
      <c r="D100" s="1237"/>
      <c r="E100" s="422">
        <v>46168</v>
      </c>
      <c r="F100" s="723" t="s">
        <v>1012</v>
      </c>
      <c r="G100" s="723" t="s">
        <v>340</v>
      </c>
      <c r="H100" s="421">
        <v>18400</v>
      </c>
      <c r="I100" s="724"/>
      <c r="J100" s="1010"/>
    </row>
    <row r="101" spans="2:10">
      <c r="B101" s="1192"/>
      <c r="C101" s="1237"/>
      <c r="D101" s="1237"/>
      <c r="E101" s="422">
        <v>46168</v>
      </c>
      <c r="F101" s="723" t="s">
        <v>1013</v>
      </c>
      <c r="G101" s="723" t="s">
        <v>340</v>
      </c>
      <c r="H101" s="421">
        <v>21000</v>
      </c>
      <c r="I101" s="724"/>
      <c r="J101" s="1010"/>
    </row>
    <row r="102" spans="2:10" ht="18" thickBot="1">
      <c r="B102" s="1193"/>
      <c r="C102" s="1238"/>
      <c r="D102" s="1238"/>
      <c r="E102" s="1012">
        <v>46170</v>
      </c>
      <c r="F102" s="1013" t="s">
        <v>1014</v>
      </c>
      <c r="G102" s="1013" t="s">
        <v>533</v>
      </c>
      <c r="H102" s="1014">
        <v>280000</v>
      </c>
      <c r="I102" s="1018"/>
      <c r="J102" s="1015"/>
    </row>
  </sheetData>
  <autoFilter ref="C4:J4" xr:uid="{00000000-0009-0000-0000-000000000000}"/>
  <mergeCells count="42">
    <mergeCell ref="B84:B102"/>
    <mergeCell ref="C84:C86"/>
    <mergeCell ref="D84:D86"/>
    <mergeCell ref="C87:C90"/>
    <mergeCell ref="D87:D90"/>
    <mergeCell ref="C93:C102"/>
    <mergeCell ref="D93:D102"/>
    <mergeCell ref="B62:B83"/>
    <mergeCell ref="C62:C68"/>
    <mergeCell ref="C69:C73"/>
    <mergeCell ref="D69:D73"/>
    <mergeCell ref="C74:C75"/>
    <mergeCell ref="D74:D75"/>
    <mergeCell ref="C76:C78"/>
    <mergeCell ref="D76:D78"/>
    <mergeCell ref="C79:C80"/>
    <mergeCell ref="D79:D80"/>
    <mergeCell ref="D62:D66"/>
    <mergeCell ref="D67:D68"/>
    <mergeCell ref="B38:B53"/>
    <mergeCell ref="C38:C42"/>
    <mergeCell ref="D38:D42"/>
    <mergeCell ref="C43:C45"/>
    <mergeCell ref="D43:D45"/>
    <mergeCell ref="C47:C52"/>
    <mergeCell ref="D47:D52"/>
    <mergeCell ref="B19:B37"/>
    <mergeCell ref="C19:C21"/>
    <mergeCell ref="D19:D21"/>
    <mergeCell ref="C22:C26"/>
    <mergeCell ref="D22:D26"/>
    <mergeCell ref="C27:C31"/>
    <mergeCell ref="D27:D31"/>
    <mergeCell ref="C35:C37"/>
    <mergeCell ref="D35:D37"/>
    <mergeCell ref="B5:B18"/>
    <mergeCell ref="C6:C9"/>
    <mergeCell ref="D6:D9"/>
    <mergeCell ref="C11:C16"/>
    <mergeCell ref="D11:D16"/>
    <mergeCell ref="C17:C18"/>
    <mergeCell ref="D17:D18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C948C-59DE-4AF7-8FB2-F0190D7867DA}">
  <sheetPr>
    <tabColor rgb="FFFFCCCC"/>
  </sheetPr>
  <dimension ref="A1:AD25"/>
  <sheetViews>
    <sheetView showGridLines="0" workbookViewId="0">
      <selection activeCell="W31" sqref="W31"/>
    </sheetView>
  </sheetViews>
  <sheetFormatPr baseColWidth="10" defaultColWidth="9" defaultRowHeight="15"/>
  <cols>
    <col min="1" max="4" width="10.33203125" style="325" customWidth="1"/>
    <col min="5" max="15" width="10.33203125" style="325" hidden="1" customWidth="1"/>
    <col min="16" max="16" width="10.6640625" style="325" hidden="1" customWidth="1"/>
    <col min="17" max="28" width="10.6640625" style="325" customWidth="1"/>
    <col min="29" max="29" width="13.33203125" style="325" customWidth="1"/>
    <col min="30" max="30" width="10.83203125" style="325" bestFit="1" customWidth="1"/>
    <col min="31" max="16384" width="9" style="325"/>
  </cols>
  <sheetData>
    <row r="1" spans="1:29" ht="21" customHeight="1">
      <c r="A1" s="324" t="s">
        <v>358</v>
      </c>
      <c r="Q1" s="326"/>
    </row>
    <row r="2" spans="1:29">
      <c r="Q2" s="327" t="s">
        <v>359</v>
      </c>
    </row>
    <row r="3" spans="1:29" s="332" customFormat="1" ht="17">
      <c r="A3" s="328" t="s">
        <v>360</v>
      </c>
      <c r="B3" s="328" t="s">
        <v>361</v>
      </c>
      <c r="C3" s="328" t="s">
        <v>362</v>
      </c>
      <c r="D3" s="328" t="s">
        <v>363</v>
      </c>
      <c r="E3" s="329" t="s">
        <v>364</v>
      </c>
      <c r="F3" s="329" t="s">
        <v>365</v>
      </c>
      <c r="G3" s="329" t="s">
        <v>349</v>
      </c>
      <c r="H3" s="329" t="s">
        <v>366</v>
      </c>
      <c r="I3" s="329" t="s">
        <v>14</v>
      </c>
      <c r="J3" s="329" t="s">
        <v>16</v>
      </c>
      <c r="K3" s="329" t="s">
        <v>20</v>
      </c>
      <c r="L3" s="329" t="s">
        <v>22</v>
      </c>
      <c r="M3" s="329" t="s">
        <v>24</v>
      </c>
      <c r="N3" s="329" t="s">
        <v>28</v>
      </c>
      <c r="O3" s="329" t="s">
        <v>30</v>
      </c>
      <c r="P3" s="330" t="s">
        <v>32</v>
      </c>
      <c r="Q3" s="331" t="s">
        <v>7</v>
      </c>
      <c r="R3" s="329" t="s">
        <v>8</v>
      </c>
      <c r="S3" s="329" t="s">
        <v>349</v>
      </c>
      <c r="T3" s="329" t="s">
        <v>12</v>
      </c>
      <c r="U3" s="329" t="s">
        <v>14</v>
      </c>
      <c r="V3" s="329" t="s">
        <v>342</v>
      </c>
      <c r="W3" s="329" t="s">
        <v>344</v>
      </c>
      <c r="X3" s="329" t="s">
        <v>345</v>
      </c>
      <c r="Y3" s="329" t="s">
        <v>24</v>
      </c>
      <c r="Z3" s="329" t="s">
        <v>28</v>
      </c>
      <c r="AA3" s="329" t="s">
        <v>30</v>
      </c>
      <c r="AB3" s="329" t="s">
        <v>320</v>
      </c>
      <c r="AC3" s="455" t="s">
        <v>367</v>
      </c>
    </row>
    <row r="4" spans="1:29" s="332" customFormat="1" ht="17">
      <c r="A4" s="1243" t="s">
        <v>368</v>
      </c>
      <c r="B4" s="1246" t="s">
        <v>369</v>
      </c>
      <c r="C4" s="328" t="s">
        <v>370</v>
      </c>
      <c r="D4" s="333">
        <v>195</v>
      </c>
      <c r="E4" s="333">
        <f>$D4*('[1]가운출고량(류)'!F3)</f>
        <v>0</v>
      </c>
      <c r="F4" s="333">
        <f>$D4*('[1]가운출고량(류)'!G3)</f>
        <v>0</v>
      </c>
      <c r="G4" s="333">
        <f>$D4*('[1]가운출고량(류)'!H3)</f>
        <v>0</v>
      </c>
      <c r="H4" s="333">
        <f>$D4*('[1]가운출고량(류)'!I3)</f>
        <v>0</v>
      </c>
      <c r="I4" s="333">
        <f>$D4*('[1]가운출고량(류)'!J3)</f>
        <v>0</v>
      </c>
      <c r="J4" s="333">
        <f>$D4*('[1]가운출고량(류)'!K3)</f>
        <v>0</v>
      </c>
      <c r="K4" s="333">
        <f>$D4*('[1]가운출고량(류)'!L3)</f>
        <v>0</v>
      </c>
      <c r="L4" s="333">
        <f>$D4*('[1]가운출고량(류)'!M3)</f>
        <v>0</v>
      </c>
      <c r="M4" s="333">
        <f>$D4*('[1]가운출고량(류)'!N3)</f>
        <v>0</v>
      </c>
      <c r="N4" s="334">
        <f>$D4*('[1]가운출고량(류)'!O3)</f>
        <v>0</v>
      </c>
      <c r="O4" s="333">
        <f>$D4*('[1]가운출고량(류)'!P3)</f>
        <v>0</v>
      </c>
      <c r="P4" s="335">
        <f>$D4*('[1]가운출고량(류)'!Q3)</f>
        <v>0</v>
      </c>
      <c r="Q4" s="423">
        <f>($D4/1.1)*('가운출고량(류)5월'!AF$9)</f>
        <v>42545.454545454544</v>
      </c>
      <c r="R4" s="424">
        <f>($D4/1.1)*('가운출고량(류)5월'!AG$9)</f>
        <v>42545.454545454544</v>
      </c>
      <c r="S4" s="424">
        <f>($D4/1.1)*('가운출고량(류)5월'!AH$9)</f>
        <v>53181.818181818177</v>
      </c>
      <c r="T4" s="424">
        <f>($D4/1.1)*('가운출고량(류)5월'!AI$9)</f>
        <v>63818.181818181809</v>
      </c>
      <c r="U4" s="424">
        <f>($D4/1.1)*('가운출고량(류)5월'!AJ$9)</f>
        <v>42545.454545454544</v>
      </c>
      <c r="V4" s="424">
        <f>($D4/1.1)*('가운출고량(류)5월'!AK$9)</f>
        <v>0</v>
      </c>
      <c r="W4" s="424">
        <f>($D4/1.1)*('가운출고량(류)5월'!AL$9)</f>
        <v>0</v>
      </c>
      <c r="X4" s="424">
        <f>($D4/1.1)*('가운출고량(류)5월'!AM$9)</f>
        <v>0</v>
      </c>
      <c r="Y4" s="424">
        <f>($D4/1.1)*('가운출고량(류)5월'!AN$9)</f>
        <v>0</v>
      </c>
      <c r="Z4" s="424">
        <f>($D4/1.1)*('가운출고량(류)5월'!AO$9)</f>
        <v>0</v>
      </c>
      <c r="AA4" s="424">
        <f>($D4/1.1)*('가운출고량(류)5월'!AP$9)</f>
        <v>0</v>
      </c>
      <c r="AB4" s="424">
        <f>($D4/1.1)*('가운출고량(류)5월'!AQ$9)</f>
        <v>0</v>
      </c>
      <c r="AC4" s="468">
        <f t="shared" ref="AC4:AC7" si="0">SUM(Q4:AB4)</f>
        <v>244636.36363636359</v>
      </c>
    </row>
    <row r="5" spans="1:29" s="332" customFormat="1" ht="17">
      <c r="A5" s="1244"/>
      <c r="B5" s="1247"/>
      <c r="C5" s="328" t="s">
        <v>371</v>
      </c>
      <c r="D5" s="333">
        <v>224</v>
      </c>
      <c r="E5" s="333">
        <f>$D5*('[1]가운출고량(류)'!F4+'[1]가운출고량(류)'!F5)</f>
        <v>112000</v>
      </c>
      <c r="F5" s="333">
        <f>$D5*('[1]가운출고량(류)'!G4+'[1]가운출고량(류)'!G5)</f>
        <v>95200</v>
      </c>
      <c r="G5" s="333">
        <f>$D5*('[1]가운출고량(류)'!H4+'[1]가운출고량(류)'!H5)</f>
        <v>61600</v>
      </c>
      <c r="H5" s="333">
        <f>$D5*('[1]가운출고량(류)'!I4+'[1]가운출고량(류)'!I5)</f>
        <v>56000</v>
      </c>
      <c r="I5" s="333">
        <f>$D5*('[1]가운출고량(류)'!J4+'[1]가운출고량(류)'!J5)</f>
        <v>56000</v>
      </c>
      <c r="J5" s="333">
        <f>$D5*('[1]가운출고량(류)'!K4+'[1]가운출고량(류)'!K5)</f>
        <v>56000</v>
      </c>
      <c r="K5" s="333">
        <f>$D5*('[1]가운출고량(류)'!L4+'[1]가운출고량(류)'!L5)</f>
        <v>56000</v>
      </c>
      <c r="L5" s="333">
        <f>$D5*('[1]가운출고량(류)'!M4+'[1]가운출고량(류)'!M5)</f>
        <v>72800</v>
      </c>
      <c r="M5" s="333">
        <f>$D5*('[1]가운출고량(류)'!N4+'[1]가운출고량(류)'!N5)</f>
        <v>67200</v>
      </c>
      <c r="N5" s="334">
        <f>$D5*('[1]가운출고량(류)'!O4+'[1]가운출고량(류)'!O5)</f>
        <v>56000</v>
      </c>
      <c r="O5" s="333">
        <f>$D5*('[1]가운출고량(류)'!P4+'[1]가운출고량(류)'!P5)</f>
        <v>67200</v>
      </c>
      <c r="P5" s="335">
        <f>$D5*('[1]가운출고량(류)'!Q4+'[1]가운출고량(류)'!Q5)</f>
        <v>78400</v>
      </c>
      <c r="Q5" s="423">
        <f>($D5/1.1)*('가운출고량(류)5월'!AF$7+'가운출고량(류)5월'!AF$8)</f>
        <v>10181.818181818182</v>
      </c>
      <c r="R5" s="424">
        <f>($D5/1.1)*('가운출고량(류)5월'!AG$7+'가운출고량(류)5월'!AG$8)</f>
        <v>10181.818181818182</v>
      </c>
      <c r="S5" s="424">
        <f>($D5/1.1)*('가운출고량(류)5월'!AH$7+'가운출고량(류)5월'!AH$8)</f>
        <v>5090.909090909091</v>
      </c>
      <c r="T5" s="424">
        <f>($D5/1.1)*('가운출고량(류)5월'!AI$7+'가운출고량(류)5월'!AI$8)</f>
        <v>20363.636363636364</v>
      </c>
      <c r="U5" s="424">
        <f>($D5/1.1)*('가운출고량(류)5월'!AJ$7+'가운출고량(류)5월'!AJ$8)</f>
        <v>5090.909090909091</v>
      </c>
      <c r="V5" s="424">
        <f>($D5/1.1)*('가운출고량(류)5월'!AK$7+'가운출고량(류)5월'!AK$8)</f>
        <v>0</v>
      </c>
      <c r="W5" s="424">
        <f>($D5/1.1)*('가운출고량(류)5월'!AL$7+'가운출고량(류)5월'!AL$8)</f>
        <v>0</v>
      </c>
      <c r="X5" s="424">
        <f>($D5/1.1)*('가운출고량(류)5월'!AM$7+'가운출고량(류)5월'!AM$8)</f>
        <v>0</v>
      </c>
      <c r="Y5" s="424">
        <f>($D5/1.1)*('가운출고량(류)5월'!AN$7+'가운출고량(류)5월'!AN$8)</f>
        <v>0</v>
      </c>
      <c r="Z5" s="424">
        <f>($D5/1.1)*('가운출고량(류)5월'!AO$7+'가운출고량(류)5월'!AO$8)</f>
        <v>0</v>
      </c>
      <c r="AA5" s="424">
        <f>($D5/1.1)*('가운출고량(류)5월'!AP$7+'가운출고량(류)5월'!AP$8)</f>
        <v>0</v>
      </c>
      <c r="AB5" s="424">
        <f>($D5/1.1)*('가운출고량(류)5월'!AQ$7+'가운출고량(류)5월'!AQ$8)</f>
        <v>0</v>
      </c>
      <c r="AC5" s="468">
        <f t="shared" si="0"/>
        <v>50909.090909090912</v>
      </c>
    </row>
    <row r="6" spans="1:29" s="332" customFormat="1" ht="17">
      <c r="A6" s="1244"/>
      <c r="B6" s="1248"/>
      <c r="C6" s="450" t="s">
        <v>372</v>
      </c>
      <c r="D6" s="451"/>
      <c r="E6" s="451">
        <f t="shared" ref="E6:P6" si="1">E4+E5</f>
        <v>112000</v>
      </c>
      <c r="F6" s="451">
        <f t="shared" si="1"/>
        <v>95200</v>
      </c>
      <c r="G6" s="451">
        <f t="shared" si="1"/>
        <v>61600</v>
      </c>
      <c r="H6" s="451">
        <f t="shared" si="1"/>
        <v>56000</v>
      </c>
      <c r="I6" s="451">
        <f t="shared" si="1"/>
        <v>56000</v>
      </c>
      <c r="J6" s="451">
        <f t="shared" si="1"/>
        <v>56000</v>
      </c>
      <c r="K6" s="451">
        <f t="shared" si="1"/>
        <v>56000</v>
      </c>
      <c r="L6" s="451">
        <f t="shared" si="1"/>
        <v>72800</v>
      </c>
      <c r="M6" s="451">
        <f t="shared" si="1"/>
        <v>67200</v>
      </c>
      <c r="N6" s="451">
        <f t="shared" si="1"/>
        <v>56000</v>
      </c>
      <c r="O6" s="451">
        <f t="shared" si="1"/>
        <v>67200</v>
      </c>
      <c r="P6" s="454">
        <f t="shared" si="1"/>
        <v>78400</v>
      </c>
      <c r="Q6" s="866">
        <f>SUM(Q4:Q5)</f>
        <v>52727.272727272728</v>
      </c>
      <c r="R6" s="451">
        <f>SUM(R4:R5)</f>
        <v>52727.272727272728</v>
      </c>
      <c r="S6" s="451">
        <f t="shared" ref="S6:AB6" si="2">SUM(S4:S5)</f>
        <v>58272.727272727265</v>
      </c>
      <c r="T6" s="451">
        <f t="shared" ref="T6" si="3">SUM(T4:T5)</f>
        <v>84181.818181818177</v>
      </c>
      <c r="U6" s="451">
        <f t="shared" si="2"/>
        <v>47636.363636363632</v>
      </c>
      <c r="V6" s="451">
        <f t="shared" si="2"/>
        <v>0</v>
      </c>
      <c r="W6" s="451">
        <f t="shared" si="2"/>
        <v>0</v>
      </c>
      <c r="X6" s="451">
        <f t="shared" si="2"/>
        <v>0</v>
      </c>
      <c r="Y6" s="451">
        <f t="shared" si="2"/>
        <v>0</v>
      </c>
      <c r="Z6" s="451">
        <f t="shared" si="2"/>
        <v>0</v>
      </c>
      <c r="AA6" s="867">
        <f t="shared" si="2"/>
        <v>0</v>
      </c>
      <c r="AB6" s="867">
        <f t="shared" si="2"/>
        <v>0</v>
      </c>
      <c r="AC6" s="469">
        <f t="shared" si="0"/>
        <v>295545.45454545453</v>
      </c>
    </row>
    <row r="7" spans="1:29" s="332" customFormat="1" ht="17">
      <c r="A7" s="1244"/>
      <c r="B7" s="1246" t="s">
        <v>373</v>
      </c>
      <c r="C7" s="328" t="s">
        <v>374</v>
      </c>
      <c r="D7" s="333">
        <v>637</v>
      </c>
      <c r="E7" s="333">
        <f>$D7*('[1]가운출고량(류)'!F6+'[1]가운출고량(류)'!F7)</f>
        <v>439530</v>
      </c>
      <c r="F7" s="333">
        <f>$D7*('[1]가운출고량(류)'!G6+'[1]가운출고량(류)'!G7)</f>
        <v>353535</v>
      </c>
      <c r="G7" s="333">
        <f>$D7*('[1]가운출고량(류)'!H6+'[1]가운출고량(류)'!H7)</f>
        <v>449085</v>
      </c>
      <c r="H7" s="333">
        <f>$D7*('[1]가운출고량(류)'!I6+'[1]가운출고량(류)'!I7)</f>
        <v>353535</v>
      </c>
      <c r="I7" s="333">
        <f>$D7*('[1]가운출고량(류)'!J6+'[1]가운출고량(류)'!J7)</f>
        <v>420420</v>
      </c>
      <c r="J7" s="333">
        <f>$D7*('[1]가운출고량(류)'!K6+'[1]가운출고량(류)'!K7)</f>
        <v>420420</v>
      </c>
      <c r="K7" s="333">
        <f>$D7*('[1]가운출고량(류)'!L6+'[1]가운출고량(류)'!L7)</f>
        <v>410865</v>
      </c>
      <c r="L7" s="333">
        <f>$D7*('[1]가운출고량(류)'!M6+'[1]가운출고량(류)'!M7)</f>
        <v>382200</v>
      </c>
      <c r="M7" s="333">
        <f>$D7*('[1]가운출고량(류)'!N6+'[1]가운출고량(류)'!N7)</f>
        <v>334425</v>
      </c>
      <c r="N7" s="334">
        <f>$D7*('[1]가운출고량(류)'!O6+'[1]가운출고량(류)'!O7)</f>
        <v>353535</v>
      </c>
      <c r="O7" s="333">
        <f>$D7*('[1]가운출고량(류)'!P6+'[1]가운출고량(류)'!P7)</f>
        <v>439530</v>
      </c>
      <c r="P7" s="335">
        <f>$D7*('[1]가운출고량(류)'!Q6+'[1]가운출고량(류)'!Q7)</f>
        <v>439530</v>
      </c>
      <c r="Q7" s="423">
        <f>($D7/1.1)*('가운출고량(류)5월'!AF$5+'가운출고량(류)5월'!AF$6)</f>
        <v>416366.36363636359</v>
      </c>
      <c r="R7" s="424">
        <f>($D7/1.1)*('가운출고량(류)5월'!AG$5+'가운출고량(류)5월'!AG$6)</f>
        <v>330081.81818181812</v>
      </c>
      <c r="S7" s="424">
        <f>($D7/1.1)*('가운출고량(류)5월'!AH$5+'가운출고량(류)5월'!AH$6)</f>
        <v>364827.27272727265</v>
      </c>
      <c r="T7" s="424">
        <f>($D7/1.1)*('가운출고량(류)5월'!AI$5+'가운출고량(류)5월'!AI$6)</f>
        <v>399572.72727272724</v>
      </c>
      <c r="U7" s="424">
        <f>($D7/1.1)*('가운출고량(류)5월'!AJ$5+'가운출고량(류)5월'!AJ$6)</f>
        <v>330081.81818181812</v>
      </c>
      <c r="V7" s="424">
        <f>($D7/1.1)*('가운출고량(류)5월'!AK$5+'가운출고량(류)5월'!AK$6)</f>
        <v>0</v>
      </c>
      <c r="W7" s="424">
        <f>($D7/1.1)*('가운출고량(류)5월'!AL$5+'가운출고량(류)5월'!AL$6)</f>
        <v>0</v>
      </c>
      <c r="X7" s="424">
        <f>($D7/1.1)*('가운출고량(류)5월'!AM$5+'가운출고량(류)5월'!AM$6)</f>
        <v>0</v>
      </c>
      <c r="Y7" s="424">
        <f>($D7/1.1)*('가운출고량(류)5월'!AN$5+'가운출고량(류)5월'!AN$6)</f>
        <v>0</v>
      </c>
      <c r="Z7" s="424">
        <f>($D7/1.1)*('가운출고량(류)5월'!AO$5+'가운출고량(류)5월'!AO$6)</f>
        <v>0</v>
      </c>
      <c r="AA7" s="424">
        <f>($D7/1.1)*('가운출고량(류)5월'!AP$5+'가운출고량(류)5월'!AP$6)</f>
        <v>0</v>
      </c>
      <c r="AB7" s="424">
        <f>($D7/1.1)*('가운출고량(류)5월'!AQ$5+'가운출고량(류)5월'!AQ$6)</f>
        <v>0</v>
      </c>
      <c r="AC7" s="468">
        <f t="shared" si="0"/>
        <v>1840929.9999999998</v>
      </c>
    </row>
    <row r="8" spans="1:29" s="332" customFormat="1" ht="17">
      <c r="A8" s="1244"/>
      <c r="B8" s="1247"/>
      <c r="C8" s="328" t="s">
        <v>375</v>
      </c>
      <c r="D8" s="333">
        <v>737</v>
      </c>
      <c r="E8" s="333">
        <f>$D8*('[1]가운출고량(류)'!F8+'[1]가운출고량(류)'!F9)</f>
        <v>636768</v>
      </c>
      <c r="F8" s="333">
        <f>$D8*('[1]가운출고량(류)'!G8+'[1]가운출고량(류)'!G9)</f>
        <v>583704</v>
      </c>
      <c r="G8" s="333">
        <f>$D8*('[1]가운출고량(류)'!H8+'[1]가운출고량(류)'!H9)</f>
        <v>725208</v>
      </c>
      <c r="H8" s="333">
        <f>$D8*('[1]가운출고량(류)'!I8+'[1]가운출고량(류)'!I9)</f>
        <v>636768</v>
      </c>
      <c r="I8" s="333">
        <f>$D8*('[1]가운출고량(류)'!J8+'[1]가운출고량(류)'!J9)</f>
        <v>778272</v>
      </c>
      <c r="J8" s="333">
        <f>$D8*('[1]가운출고량(류)'!K8+'[1]가운출고량(류)'!K9)</f>
        <v>698676</v>
      </c>
      <c r="K8" s="333">
        <f>$D8*('[1]가운출고량(류)'!L8+'[1]가운출고량(류)'!L9)</f>
        <v>840180</v>
      </c>
      <c r="L8" s="333">
        <f>$D8*('[1]가운출고량(류)'!M8+'[1]가운출고량(류)'!M9)</f>
        <v>822492</v>
      </c>
      <c r="M8" s="333">
        <f>$D8*('[1]가운출고량(류)'!N8+'[1]가운출고량(류)'!N9)</f>
        <v>539484</v>
      </c>
      <c r="N8" s="334">
        <f>$D8*('[1]가운출고량(류)'!O8+'[1]가운출고량(류)'!O9)</f>
        <v>698676</v>
      </c>
      <c r="O8" s="333">
        <f>$D8*('[1]가운출고량(류)'!P8+'[1]가운출고량(류)'!P9)</f>
        <v>663300</v>
      </c>
      <c r="P8" s="335">
        <f>$D8*('[1]가운출고량(류)'!Q8+'[1]가운출고량(류)'!Q9)</f>
        <v>698676</v>
      </c>
      <c r="Q8" s="423">
        <f>($D8/1.1)*('가운출고량(류)5월'!AF$3+'가운출고량(류)5월'!AF$4)</f>
        <v>707520</v>
      </c>
      <c r="R8" s="424">
        <f>($D8/1.1)*('가운출고량(류)5월'!AG$3+'가운출고량(류)5월'!AG$4)</f>
        <v>538680</v>
      </c>
      <c r="S8" s="424">
        <f>($D8/1.1)*('가운출고량(류)5월'!AH$3+'가운출고량(류)5월'!AH$4)</f>
        <v>474360</v>
      </c>
      <c r="T8" s="424">
        <f>($D8/1.1)*('가운출고량(류)5월'!AI$3+'가운출고량(류)5월'!AI$4)</f>
        <v>611040</v>
      </c>
      <c r="U8" s="424">
        <f>($D8/1.1)*('가운출고량(류)5월'!AJ$3+'가운출고량(류)5월'!AJ$4)</f>
        <v>458280</v>
      </c>
      <c r="V8" s="424">
        <f>($D8/1.1)*('가운출고량(류)5월'!AK$3+'가운출고량(류)5월'!AK$4)</f>
        <v>0</v>
      </c>
      <c r="W8" s="424">
        <f>($D8/1.1)*('가운출고량(류)5월'!AL$3+'가운출고량(류)5월'!AL$4)</f>
        <v>0</v>
      </c>
      <c r="X8" s="424">
        <f>($D8/1.1)*('가운출고량(류)5월'!AM$3+'가운출고량(류)5월'!AM$4)</f>
        <v>0</v>
      </c>
      <c r="Y8" s="424">
        <f>($D8/1.1)*('가운출고량(류)5월'!AN$3+'가운출고량(류)5월'!AN$4)</f>
        <v>0</v>
      </c>
      <c r="Z8" s="424">
        <f>($D8/1.1)*('가운출고량(류)5월'!AO$3+'가운출고량(류)5월'!AO$4)</f>
        <v>0</v>
      </c>
      <c r="AA8" s="424">
        <f>($D8/1.1)*('가운출고량(류)5월'!AP$3+'가운출고량(류)5월'!AP$4)</f>
        <v>0</v>
      </c>
      <c r="AB8" s="424">
        <f>($D8/1.1)*('가운출고량(류)5월'!AQ$3+'가운출고량(류)5월'!AQ$4)</f>
        <v>0</v>
      </c>
      <c r="AC8" s="468">
        <f>SUM(Q8:AB8)</f>
        <v>2789880</v>
      </c>
    </row>
    <row r="9" spans="1:29" s="332" customFormat="1" ht="17">
      <c r="A9" s="1244"/>
      <c r="B9" s="1247"/>
      <c r="C9" s="328" t="s">
        <v>376</v>
      </c>
      <c r="D9" s="333">
        <v>228</v>
      </c>
      <c r="E9" s="333"/>
      <c r="F9" s="333"/>
      <c r="G9" s="333"/>
      <c r="H9" s="333"/>
      <c r="I9" s="333"/>
      <c r="J9" s="333"/>
      <c r="K9" s="333"/>
      <c r="L9" s="333"/>
      <c r="M9" s="333"/>
      <c r="N9" s="334"/>
      <c r="O9" s="333"/>
      <c r="P9" s="335"/>
      <c r="Q9" s="423">
        <f>($D9/1.1)*('가운출고량(류)5월'!AF$10+'가운출고량(류)5월'!AF$11)</f>
        <v>122290.90909090907</v>
      </c>
      <c r="R9" s="424">
        <f>($D9/1.1)*('가운출고량(류)5월'!AG$10+'가운출고량(류)5월'!AG$11)</f>
        <v>107781.81818181818</v>
      </c>
      <c r="S9" s="424">
        <f>($D9/1.1)*('가운출고량(류)5월'!AH$10+'가운출고량(류)5월'!AH$11)</f>
        <v>124363.63636363635</v>
      </c>
      <c r="T9" s="424">
        <f>($D9/1.1)*('가운출고량(류)5월'!AI$10+'가운출고량(류)5월'!AI$11)</f>
        <v>107781.81818181818</v>
      </c>
      <c r="U9" s="424">
        <f>($D9/1.1)*('가운출고량(류)5월'!AJ$10+'가운출고량(류)5월'!AJ$11)</f>
        <v>91199.999999999985</v>
      </c>
      <c r="V9" s="424">
        <f>($D9/1.1)*('가운출고량(류)5월'!AK$10+'가운출고량(류)5월'!AK$11)</f>
        <v>0</v>
      </c>
      <c r="W9" s="424">
        <f>($D9/1.1)*('가운출고량(류)5월'!AL$10+'가운출고량(류)5월'!AL$11)</f>
        <v>0</v>
      </c>
      <c r="X9" s="424">
        <f>($D9/1.1)*('가운출고량(류)5월'!AM$10+'가운출고량(류)5월'!AM$11)</f>
        <v>0</v>
      </c>
      <c r="Y9" s="424">
        <f>($D9/1.1)*('가운출고량(류)5월'!AN$10+'가운출고량(류)5월'!AN$11)</f>
        <v>0</v>
      </c>
      <c r="Z9" s="424">
        <f>($D9/1.1)*('가운출고량(류)5월'!AO$10+'가운출고량(류)5월'!AO$11)</f>
        <v>0</v>
      </c>
      <c r="AA9" s="424">
        <f>($D9/1.1)*('가운출고량(류)5월'!AP$10+'가운출고량(류)5월'!AP$11)</f>
        <v>0</v>
      </c>
      <c r="AB9" s="424">
        <f>($D9/1.1)*('가운출고량(류)5월'!AQ$10+'가운출고량(류)5월'!AQ$11)</f>
        <v>0</v>
      </c>
      <c r="AC9" s="468">
        <f t="shared" ref="AC9:AC10" si="4">SUM(Q9:AB9)</f>
        <v>553418.18181818177</v>
      </c>
    </row>
    <row r="10" spans="1:29" s="332" customFormat="1" ht="17">
      <c r="A10" s="1244"/>
      <c r="B10" s="1248"/>
      <c r="C10" s="450" t="s">
        <v>377</v>
      </c>
      <c r="D10" s="451"/>
      <c r="E10" s="451">
        <f t="shared" ref="E10:P10" si="5">E7+E8</f>
        <v>1076298</v>
      </c>
      <c r="F10" s="451">
        <f t="shared" si="5"/>
        <v>937239</v>
      </c>
      <c r="G10" s="451">
        <f t="shared" si="5"/>
        <v>1174293</v>
      </c>
      <c r="H10" s="451">
        <f t="shared" si="5"/>
        <v>990303</v>
      </c>
      <c r="I10" s="451">
        <f t="shared" si="5"/>
        <v>1198692</v>
      </c>
      <c r="J10" s="451">
        <f t="shared" si="5"/>
        <v>1119096</v>
      </c>
      <c r="K10" s="451">
        <f t="shared" si="5"/>
        <v>1251045</v>
      </c>
      <c r="L10" s="451">
        <f t="shared" si="5"/>
        <v>1204692</v>
      </c>
      <c r="M10" s="451">
        <f t="shared" si="5"/>
        <v>873909</v>
      </c>
      <c r="N10" s="451">
        <f t="shared" si="5"/>
        <v>1052211</v>
      </c>
      <c r="O10" s="451">
        <f t="shared" si="5"/>
        <v>1102830</v>
      </c>
      <c r="P10" s="454">
        <f t="shared" si="5"/>
        <v>1138206</v>
      </c>
      <c r="Q10" s="866">
        <f>SUM(Q7:Q9)</f>
        <v>1246177.2727272727</v>
      </c>
      <c r="R10" s="451">
        <f>SUM(R7:R9)</f>
        <v>976543.63636363624</v>
      </c>
      <c r="S10" s="451">
        <f t="shared" ref="S10:AB10" si="6">SUM(S7:S9)</f>
        <v>963550.90909090906</v>
      </c>
      <c r="T10" s="451">
        <f t="shared" ref="T10" si="7">SUM(T7:T9)</f>
        <v>1118394.5454545454</v>
      </c>
      <c r="U10" s="451">
        <f t="shared" si="6"/>
        <v>879561.81818181812</v>
      </c>
      <c r="V10" s="451">
        <f t="shared" si="6"/>
        <v>0</v>
      </c>
      <c r="W10" s="451">
        <f t="shared" si="6"/>
        <v>0</v>
      </c>
      <c r="X10" s="451">
        <f t="shared" si="6"/>
        <v>0</v>
      </c>
      <c r="Y10" s="451">
        <f t="shared" si="6"/>
        <v>0</v>
      </c>
      <c r="Z10" s="451">
        <f t="shared" si="6"/>
        <v>0</v>
      </c>
      <c r="AA10" s="451">
        <f t="shared" si="6"/>
        <v>0</v>
      </c>
      <c r="AB10" s="451">
        <f t="shared" si="6"/>
        <v>0</v>
      </c>
      <c r="AC10" s="469">
        <f t="shared" si="4"/>
        <v>5184228.1818181816</v>
      </c>
    </row>
    <row r="11" spans="1:29" s="332" customFormat="1" ht="17">
      <c r="A11" s="1245"/>
      <c r="B11" s="1249" t="s">
        <v>378</v>
      </c>
      <c r="C11" s="1250"/>
      <c r="D11" s="465"/>
      <c r="E11" s="465">
        <f t="shared" ref="E11:R11" si="8">E6+E10</f>
        <v>1188298</v>
      </c>
      <c r="F11" s="465">
        <f t="shared" si="8"/>
        <v>1032439</v>
      </c>
      <c r="G11" s="465">
        <f t="shared" si="8"/>
        <v>1235893</v>
      </c>
      <c r="H11" s="465">
        <f t="shared" si="8"/>
        <v>1046303</v>
      </c>
      <c r="I11" s="465">
        <f t="shared" si="8"/>
        <v>1254692</v>
      </c>
      <c r="J11" s="465">
        <f t="shared" si="8"/>
        <v>1175096</v>
      </c>
      <c r="K11" s="465">
        <f t="shared" si="8"/>
        <v>1307045</v>
      </c>
      <c r="L11" s="465">
        <f t="shared" si="8"/>
        <v>1277492</v>
      </c>
      <c r="M11" s="465">
        <f t="shared" si="8"/>
        <v>941109</v>
      </c>
      <c r="N11" s="465">
        <f t="shared" si="8"/>
        <v>1108211</v>
      </c>
      <c r="O11" s="465">
        <f t="shared" si="8"/>
        <v>1170030</v>
      </c>
      <c r="P11" s="466">
        <f t="shared" si="8"/>
        <v>1216606</v>
      </c>
      <c r="Q11" s="467">
        <f t="shared" si="8"/>
        <v>1298904.5454545454</v>
      </c>
      <c r="R11" s="465">
        <f t="shared" si="8"/>
        <v>1029270.9090909089</v>
      </c>
      <c r="S11" s="465">
        <f t="shared" ref="S11:AB11" si="9">S6+S10</f>
        <v>1021823.6363636364</v>
      </c>
      <c r="T11" s="465">
        <f t="shared" ref="T11" si="10">T6+T10</f>
        <v>1202576.3636363635</v>
      </c>
      <c r="U11" s="465">
        <f t="shared" si="9"/>
        <v>927198.18181818177</v>
      </c>
      <c r="V11" s="465">
        <f t="shared" si="9"/>
        <v>0</v>
      </c>
      <c r="W11" s="465">
        <f t="shared" si="9"/>
        <v>0</v>
      </c>
      <c r="X11" s="465">
        <f t="shared" si="9"/>
        <v>0</v>
      </c>
      <c r="Y11" s="465">
        <f t="shared" si="9"/>
        <v>0</v>
      </c>
      <c r="Z11" s="465">
        <f t="shared" si="9"/>
        <v>0</v>
      </c>
      <c r="AA11" s="465">
        <f t="shared" si="9"/>
        <v>0</v>
      </c>
      <c r="AB11" s="465">
        <f t="shared" si="9"/>
        <v>0</v>
      </c>
      <c r="AC11" s="468">
        <f>SUM(Q11:AB11)</f>
        <v>5479773.6363636358</v>
      </c>
    </row>
    <row r="12" spans="1:29" s="332" customFormat="1" ht="17">
      <c r="A12" s="1251" t="s">
        <v>379</v>
      </c>
      <c r="B12" s="1246" t="s">
        <v>369</v>
      </c>
      <c r="C12" s="328" t="s">
        <v>370</v>
      </c>
      <c r="D12" s="333">
        <v>195</v>
      </c>
      <c r="E12" s="333">
        <f>$D12*('[1]가운출고량(류)'!F13)</f>
        <v>0</v>
      </c>
      <c r="F12" s="333">
        <f>$D12*('[1]가운출고량(류)'!G13)</f>
        <v>0</v>
      </c>
      <c r="G12" s="333">
        <f>$D12*('[1]가운출고량(류)'!H13)</f>
        <v>0</v>
      </c>
      <c r="H12" s="333">
        <f>$D12*('[1]가운출고량(류)'!I13)</f>
        <v>0</v>
      </c>
      <c r="I12" s="333">
        <f>$D12*('[1]가운출고량(류)'!J13)</f>
        <v>0</v>
      </c>
      <c r="J12" s="333">
        <f>$D12*('[1]가운출고량(류)'!K13)</f>
        <v>0</v>
      </c>
      <c r="K12" s="333">
        <f>$D12*('[1]가운출고량(류)'!L13)</f>
        <v>0</v>
      </c>
      <c r="L12" s="333">
        <f>$D12*('[1]가운출고량(류)'!M13)</f>
        <v>130455</v>
      </c>
      <c r="M12" s="333">
        <f>$D12*('[1]가운출고량(류)'!N13)</f>
        <v>128700</v>
      </c>
      <c r="N12" s="334">
        <f>$D12*('[1]가운출고량(류)'!O13)</f>
        <v>117000</v>
      </c>
      <c r="O12" s="333">
        <f>$D12*('[1]가운출고량(류)'!P13)</f>
        <v>93600</v>
      </c>
      <c r="P12" s="335">
        <f>$D12*('[1]가운출고량(류)'!Q13)</f>
        <v>105300</v>
      </c>
      <c r="Q12" s="423">
        <f>($D12/1.1)*('가운출고량(류)5월'!AF$19)</f>
        <v>127636.36363636362</v>
      </c>
      <c r="R12" s="426">
        <f>($D12/1.1)*('가운출고량(류)5월'!AG$19)</f>
        <v>85090.909090909088</v>
      </c>
      <c r="S12" s="426">
        <f>($D12/1.1)*('가운출고량(류)5월'!AH$19)</f>
        <v>63818.181818181809</v>
      </c>
      <c r="T12" s="426">
        <f>($D12/1.1)*('가운출고량(류)5월'!AI$19)</f>
        <v>85090.909090909088</v>
      </c>
      <c r="U12" s="426">
        <f>($D12/1.1)*('가운출고량(류)5월'!AJ$19)</f>
        <v>85090.909090909088</v>
      </c>
      <c r="V12" s="426">
        <f>($D12/1.1)*('가운출고량(류)5월'!AK$19)</f>
        <v>0</v>
      </c>
      <c r="W12" s="426">
        <f>($D12/1.1)*('가운출고량(류)5월'!AL$19)</f>
        <v>0</v>
      </c>
      <c r="X12" s="426">
        <f>($D12/1.1)*('가운출고량(류)5월'!AM$19)</f>
        <v>0</v>
      </c>
      <c r="Y12" s="426">
        <f>($D12/1.1)*('가운출고량(류)5월'!AN$19)</f>
        <v>0</v>
      </c>
      <c r="Z12" s="426">
        <f>($D12/1.1)*('가운출고량(류)5월'!AO$19)</f>
        <v>0</v>
      </c>
      <c r="AA12" s="426">
        <f>($D12/1.1)*('가운출고량(류)5월'!AP$19)</f>
        <v>0</v>
      </c>
      <c r="AB12" s="426">
        <f>($D12/1.1)*('가운출고량(류)5월'!AQ$19)</f>
        <v>0</v>
      </c>
      <c r="AC12" s="464">
        <f t="shared" ref="AC12:AC20" si="11">SUM(Q12:AB12)</f>
        <v>446727.27272727271</v>
      </c>
    </row>
    <row r="13" spans="1:29" s="332" customFormat="1" ht="17">
      <c r="A13" s="1252"/>
      <c r="B13" s="1247"/>
      <c r="C13" s="328" t="s">
        <v>371</v>
      </c>
      <c r="D13" s="333">
        <v>224</v>
      </c>
      <c r="E13" s="333">
        <f>$D13*('[1]가운출고량(류)'!F14+'[1]가운출고량(류)'!F15)</f>
        <v>184800</v>
      </c>
      <c r="F13" s="333">
        <f>$D13*('[1]가운출고량(류)'!G14+'[1]가운출고량(류)'!G15)</f>
        <v>151200</v>
      </c>
      <c r="G13" s="333">
        <f>$D13*('[1]가운출고량(류)'!H14+'[1]가운출고량(류)'!H15)</f>
        <v>179200</v>
      </c>
      <c r="H13" s="333">
        <f>$D13*('[1]가운출고량(류)'!I14+'[1]가운출고량(류)'!I15)</f>
        <v>151200</v>
      </c>
      <c r="I13" s="333">
        <f>$D13*('[1]가운출고량(류)'!J14+'[1]가운출고량(류)'!J15)</f>
        <v>196000</v>
      </c>
      <c r="J13" s="333">
        <f>$D13*('[1]가운출고량(류)'!K14+'[1]가운출고량(류)'!K15)</f>
        <v>140000</v>
      </c>
      <c r="K13" s="333">
        <f>$D13*('[1]가운출고량(류)'!L14+'[1]가운출고량(류)'!L15)</f>
        <v>145600</v>
      </c>
      <c r="L13" s="333">
        <f>$D13*('[1]가운출고량(류)'!M14+'[1]가운출고량(류)'!M15)</f>
        <v>128800</v>
      </c>
      <c r="M13" s="333">
        <f>$D13*('[1]가운출고량(류)'!N14+'[1]가운출고량(류)'!N15)</f>
        <v>100800</v>
      </c>
      <c r="N13" s="334">
        <f>$D13*('[1]가운출고량(류)'!O14+'[1]가운출고량(류)'!O15)</f>
        <v>95200</v>
      </c>
      <c r="O13" s="333">
        <f>$D13*('[1]가운출고량(류)'!P14+'[1]가운출고량(류)'!P15)</f>
        <v>50400</v>
      </c>
      <c r="P13" s="335">
        <f>$D13*('[1]가운출고량(류)'!Q14+'[1]가운출고량(류)'!Q15)</f>
        <v>67200</v>
      </c>
      <c r="Q13" s="456">
        <f>($D13/1.1)*('가운출고량(류)5월'!AF$17+'가운출고량(류)5월'!AF$18)</f>
        <v>45818.181818181816</v>
      </c>
      <c r="R13" s="426">
        <f>($D13/1.1)*('가운출고량(류)5월'!AG$17+'가운출고량(류)5월'!AG$18)</f>
        <v>61090.909090909088</v>
      </c>
      <c r="S13" s="426">
        <f>($D13/1.1)*('가운출고량(류)5월'!AH$17+'가운출고량(류)5월'!AH$18)</f>
        <v>76363.636363636353</v>
      </c>
      <c r="T13" s="426">
        <f>($D13/1.1)*('가운출고량(류)5월'!AI$17+'가운출고량(류)5월'!AI$18)</f>
        <v>96727.272727272721</v>
      </c>
      <c r="U13" s="426">
        <f>($D13/1.1)*('가운출고량(류)5월'!AJ$17+'가운출고량(류)5월'!AJ$18)</f>
        <v>30545.454545454544</v>
      </c>
      <c r="V13" s="426">
        <f>($D13/1.1)*('가운출고량(류)5월'!AK$17+'가운출고량(류)5월'!AK$18)</f>
        <v>0</v>
      </c>
      <c r="W13" s="426">
        <f>($D13/1.1)*('가운출고량(류)5월'!AL$17+'가운출고량(류)5월'!AL$18)</f>
        <v>0</v>
      </c>
      <c r="X13" s="426">
        <f>($D13/1.1)*('가운출고량(류)5월'!AM$17+'가운출고량(류)5월'!AM$18)</f>
        <v>0</v>
      </c>
      <c r="Y13" s="426">
        <f>($D13/1.1)*('가운출고량(류)5월'!AN$17+'가운출고량(류)5월'!AN$18)</f>
        <v>0</v>
      </c>
      <c r="Z13" s="426">
        <f>($D13/1.1)*('가운출고량(류)5월'!AO$17+'가운출고량(류)5월'!AO$18)</f>
        <v>0</v>
      </c>
      <c r="AA13" s="426">
        <f>($D13/1.1)*('가운출고량(류)5월'!AP$17+'가운출고량(류)5월'!AP$18)</f>
        <v>0</v>
      </c>
      <c r="AB13" s="426">
        <f>($D13/1.1)*('가운출고량(류)5월'!AQ$17+'가운출고량(류)5월'!AQ$18)</f>
        <v>0</v>
      </c>
      <c r="AC13" s="464">
        <f t="shared" si="11"/>
        <v>310545.45454545453</v>
      </c>
    </row>
    <row r="14" spans="1:29" s="332" customFormat="1" ht="17">
      <c r="A14" s="1252"/>
      <c r="B14" s="1248"/>
      <c r="C14" s="450" t="s">
        <v>372</v>
      </c>
      <c r="D14" s="451"/>
      <c r="E14" s="336">
        <f t="shared" ref="E14:P14" si="12">E12+E13</f>
        <v>184800</v>
      </c>
      <c r="F14" s="336">
        <f t="shared" si="12"/>
        <v>151200</v>
      </c>
      <c r="G14" s="336">
        <f t="shared" si="12"/>
        <v>179200</v>
      </c>
      <c r="H14" s="336">
        <f t="shared" si="12"/>
        <v>151200</v>
      </c>
      <c r="I14" s="336">
        <f t="shared" si="12"/>
        <v>196000</v>
      </c>
      <c r="J14" s="336">
        <f t="shared" si="12"/>
        <v>140000</v>
      </c>
      <c r="K14" s="336">
        <f t="shared" si="12"/>
        <v>145600</v>
      </c>
      <c r="L14" s="336">
        <f t="shared" si="12"/>
        <v>259255</v>
      </c>
      <c r="M14" s="336">
        <f t="shared" si="12"/>
        <v>229500</v>
      </c>
      <c r="N14" s="336">
        <f t="shared" si="12"/>
        <v>212200</v>
      </c>
      <c r="O14" s="336">
        <f t="shared" si="12"/>
        <v>144000</v>
      </c>
      <c r="P14" s="452">
        <f t="shared" si="12"/>
        <v>172500</v>
      </c>
      <c r="Q14" s="453">
        <f>SUM(Q12:Q13)</f>
        <v>173454.54545454544</v>
      </c>
      <c r="R14" s="336">
        <f t="shared" ref="R14:AB14" si="13">SUM(R12:R13)</f>
        <v>146181.81818181818</v>
      </c>
      <c r="S14" s="336">
        <f t="shared" si="13"/>
        <v>140181.81818181818</v>
      </c>
      <c r="T14" s="336">
        <f t="shared" ref="T14" si="14">SUM(T12:T13)</f>
        <v>181818.18181818182</v>
      </c>
      <c r="U14" s="336">
        <f t="shared" si="13"/>
        <v>115636.36363636363</v>
      </c>
      <c r="V14" s="336">
        <f t="shared" si="13"/>
        <v>0</v>
      </c>
      <c r="W14" s="336">
        <f t="shared" si="13"/>
        <v>0</v>
      </c>
      <c r="X14" s="336">
        <f t="shared" si="13"/>
        <v>0</v>
      </c>
      <c r="Y14" s="336">
        <f t="shared" si="13"/>
        <v>0</v>
      </c>
      <c r="Z14" s="336">
        <f t="shared" si="13"/>
        <v>0</v>
      </c>
      <c r="AA14" s="336">
        <f t="shared" si="13"/>
        <v>0</v>
      </c>
      <c r="AB14" s="336">
        <f t="shared" si="13"/>
        <v>0</v>
      </c>
      <c r="AC14" s="470">
        <f t="shared" si="11"/>
        <v>757272.72727272729</v>
      </c>
    </row>
    <row r="15" spans="1:29" s="332" customFormat="1" ht="17">
      <c r="A15" s="1252"/>
      <c r="B15" s="1246" t="s">
        <v>373</v>
      </c>
      <c r="C15" s="328" t="s">
        <v>374</v>
      </c>
      <c r="D15" s="333">
        <v>637</v>
      </c>
      <c r="E15" s="333">
        <f>$D15*('[1]가운출고량(류)'!F16+'[1]가운출고량(류)'!F17)</f>
        <v>477750</v>
      </c>
      <c r="F15" s="333">
        <f>$D15*('[1]가운출고량(류)'!G16+'[1]가운출고량(류)'!G17)</f>
        <v>353535</v>
      </c>
      <c r="G15" s="333">
        <f>$D15*('[1]가운출고량(류)'!H16+'[1]가운출고량(류)'!H17)</f>
        <v>420420</v>
      </c>
      <c r="H15" s="333">
        <f>$D15*('[1]가운출고량(류)'!I16+'[1]가운출고량(류)'!I17)</f>
        <v>477750</v>
      </c>
      <c r="I15" s="333">
        <f>$D15*('[1]가운출고량(류)'!J16+'[1]가운출고량(류)'!J17)</f>
        <v>543361</v>
      </c>
      <c r="J15" s="333">
        <f>$D15*('[1]가운출고량(류)'!K16+'[1]가운출고량(류)'!K17)</f>
        <v>449085</v>
      </c>
      <c r="K15" s="333">
        <f>$D15*('[1]가운출고량(류)'!L16+'[1]가운출고량(류)'!L17)</f>
        <v>487305</v>
      </c>
      <c r="L15" s="333">
        <f>$D15*('[1]가운출고량(류)'!M16+'[1]가운출고량(류)'!M17)</f>
        <v>305760</v>
      </c>
      <c r="M15" s="333">
        <f>$D15*('[1]가운출고량(류)'!N16+'[1]가운출고량(류)'!N17)</f>
        <v>286650</v>
      </c>
      <c r="N15" s="334">
        <f>$D15*('[1]가운출고량(류)'!O16+'[1]가운출고량(류)'!O17)</f>
        <v>334425</v>
      </c>
      <c r="O15" s="333">
        <f>$D15*('[1]가운출고량(류)'!P16+'[1]가운출고량(류)'!P17)</f>
        <v>401310</v>
      </c>
      <c r="P15" s="335">
        <f>$D15*('[1]가운출고량(류)'!Q16+'[1]가운출고량(류)'!Q17)</f>
        <v>439530</v>
      </c>
      <c r="Q15" s="425">
        <f>($D15/1.1)*('가운출고량(류)5월'!AF$15+'가운출고량(류)5월'!AF$16)</f>
        <v>364827.27272727265</v>
      </c>
      <c r="R15" s="426">
        <f>($D15/1.1)*('가운출고량(류)5월'!AG$15+'가운출고량(류)5월'!AG$16)</f>
        <v>242639.09090909088</v>
      </c>
      <c r="S15" s="426">
        <f>($D15/1.1)*('가운출고량(류)5월'!AH$15+'가운출고량(류)5월'!AH$16)</f>
        <v>330081.81818181812</v>
      </c>
      <c r="T15" s="426">
        <f>($D15/1.1)*('가운출고량(류)5월'!AI$15+'가운출고량(류)5월'!AI$16)</f>
        <v>312709.09090909088</v>
      </c>
      <c r="U15" s="426">
        <f>($D15/1.1)*('가운출고량(류)5월'!AJ$15+'가운출고량(류)5월'!AJ$16)</f>
        <v>260590.90909090906</v>
      </c>
      <c r="V15" s="426">
        <f>($D15/1.1)*('가운출고량(류)5월'!AK$15+'가운출고량(류)5월'!AK$16)</f>
        <v>0</v>
      </c>
      <c r="W15" s="426">
        <f>($D15/1.1)*('가운출고량(류)5월'!AL$15+'가운출고량(류)5월'!AL$16)</f>
        <v>0</v>
      </c>
      <c r="X15" s="426">
        <f>($D15/1.1)*('가운출고량(류)5월'!AM$15+'가운출고량(류)5월'!AM$16)</f>
        <v>0</v>
      </c>
      <c r="Y15" s="426">
        <f>($D15/1.1)*('가운출고량(류)5월'!AN$15+'가운출고량(류)5월'!AN$16)</f>
        <v>0</v>
      </c>
      <c r="Z15" s="426">
        <f>($D15/1.1)*('가운출고량(류)5월'!AO$15+'가운출고량(류)5월'!AO$16)</f>
        <v>0</v>
      </c>
      <c r="AA15" s="426">
        <f>($D15/1.1)*('가운출고량(류)5월'!AP$15+'가운출고량(류)5월'!AP$16)</f>
        <v>0</v>
      </c>
      <c r="AB15" s="426">
        <f>($D15/1.1)*('가운출고량(류)5월'!AQ$15+'가운출고량(류)5월'!AQ$16)</f>
        <v>0</v>
      </c>
      <c r="AC15" s="464">
        <f t="shared" si="11"/>
        <v>1510848.1818181816</v>
      </c>
    </row>
    <row r="16" spans="1:29" s="332" customFormat="1" ht="17">
      <c r="A16" s="1252"/>
      <c r="B16" s="1247"/>
      <c r="C16" s="328" t="s">
        <v>375</v>
      </c>
      <c r="D16" s="333">
        <v>737</v>
      </c>
      <c r="E16" s="333">
        <f>$D16*('[1]가운출고량(류)'!F18+'[1]가운출고량(류)'!F19)</f>
        <v>1158564</v>
      </c>
      <c r="F16" s="333">
        <f>$D16*('[1]가운출고량(류)'!G18+'[1]가운출고량(류)'!G19)</f>
        <v>937464</v>
      </c>
      <c r="G16" s="333">
        <f>$D16*('[1]가운출고량(류)'!H18+'[1]가운출고량(류)'!H19)</f>
        <v>1220472</v>
      </c>
      <c r="H16" s="333">
        <f>$D16*('[1]가운출고량(류)'!I18+'[1]가운출고량(류)'!I19)</f>
        <v>1070124</v>
      </c>
      <c r="I16" s="333">
        <f>$D16*('[1]가운출고량(류)'!J18+'[1]가운출고량(류)'!J19)</f>
        <v>1201310</v>
      </c>
      <c r="J16" s="333">
        <f>$D16*('[1]가운출고량(류)'!K18+'[1]가운출고량(류)'!K19)</f>
        <v>988317</v>
      </c>
      <c r="K16" s="333">
        <f>$D16*('[1]가운출고량(류)'!L18+'[1]가운출고량(류)'!L19)</f>
        <v>1281643</v>
      </c>
      <c r="L16" s="333">
        <f>$D16*('[1]가운출고량(류)'!M18+'[1]가운출고량(류)'!M19)</f>
        <v>1132032</v>
      </c>
      <c r="M16" s="333">
        <f>$D16*('[1]가운출고량(류)'!N18+'[1]가운출고량(류)'!N19)</f>
        <v>1096656</v>
      </c>
      <c r="N16" s="334">
        <f>$D16*('[1]가운출고량(류)'!O18+'[1]가운출고량(류)'!O19)</f>
        <v>1052436</v>
      </c>
      <c r="O16" s="333">
        <f>$D16*('[1]가운출고량(류)'!P18+'[1]가운출고량(류)'!P19)</f>
        <v>1237423</v>
      </c>
      <c r="P16" s="335">
        <f>$D16*('[1]가운출고량(류)'!Q18+'[1]가운출고량(류)'!Q19)</f>
        <v>1210891</v>
      </c>
      <c r="Q16" s="425">
        <f>($D16/1.1)*('가운출고량(류)5월'!AF$13+'가운출고량(류)5월'!AF$14)</f>
        <v>1093440</v>
      </c>
      <c r="R16" s="426">
        <f>($D16/1.1)*('가운출고량(류)5월'!AG$13+'가운출고량(류)5월'!AG$14)</f>
        <v>900480</v>
      </c>
      <c r="S16" s="426">
        <f>($D16/1.1)*('가운출고량(류)5월'!AH$13+'가운출고량(류)5월'!AH$14)</f>
        <v>988920</v>
      </c>
      <c r="T16" s="426">
        <f>($D16/1.1)*('가운출고량(류)5월'!AI$13+'가운출고량(류)5월'!AI$14)</f>
        <v>964800</v>
      </c>
      <c r="U16" s="426">
        <f>($D16/1.1)*('가운출고량(류)5월'!AJ$13+'가운출고량(류)5월'!AJ$14)</f>
        <v>940680</v>
      </c>
      <c r="V16" s="426">
        <f>($D16/1.1)*('가운출고량(류)5월'!AK$13+'가운출고량(류)5월'!AK$14)</f>
        <v>0</v>
      </c>
      <c r="W16" s="426">
        <f>($D16/1.1)*('가운출고량(류)5월'!AL$13+'가운출고량(류)5월'!AL$14)</f>
        <v>0</v>
      </c>
      <c r="X16" s="426">
        <f>($D16/1.1)*('가운출고량(류)5월'!AM$13+'가운출고량(류)5월'!AM$14)</f>
        <v>0</v>
      </c>
      <c r="Y16" s="426">
        <f>($D16/1.1)*('가운출고량(류)5월'!AN$13+'가운출고량(류)5월'!AN$14)</f>
        <v>0</v>
      </c>
      <c r="Z16" s="426">
        <f>($D16/1.1)*('가운출고량(류)5월'!AO$13+'가운출고량(류)5월'!AO$14)</f>
        <v>0</v>
      </c>
      <c r="AA16" s="426">
        <f>($D16/1.1)*('가운출고량(류)5월'!AP$13+'가운출고량(류)5월'!AP$14)</f>
        <v>0</v>
      </c>
      <c r="AB16" s="426">
        <f>($D16/1.1)*('가운출고량(류)5월'!AQ$13+'가운출고량(류)5월'!AQ$14)</f>
        <v>0</v>
      </c>
      <c r="AC16" s="464">
        <f t="shared" si="11"/>
        <v>4888320</v>
      </c>
    </row>
    <row r="17" spans="1:30" s="332" customFormat="1" ht="17">
      <c r="A17" s="1252"/>
      <c r="B17" s="1247"/>
      <c r="C17" s="328" t="s">
        <v>376</v>
      </c>
      <c r="D17" s="333">
        <v>228</v>
      </c>
      <c r="E17" s="333"/>
      <c r="F17" s="333"/>
      <c r="G17" s="333"/>
      <c r="H17" s="333"/>
      <c r="I17" s="333"/>
      <c r="J17" s="333"/>
      <c r="K17" s="333"/>
      <c r="L17" s="333"/>
      <c r="M17" s="333"/>
      <c r="N17" s="334"/>
      <c r="O17" s="333"/>
      <c r="P17" s="335"/>
      <c r="Q17" s="423">
        <f>($D17/1.1)*('가운출고량(류)5월'!AF$20+'가운출고량(류)5월'!AF$21)</f>
        <v>0</v>
      </c>
      <c r="R17" s="426">
        <f>($D17/1.1)*('가운출고량(류)5월'!AG$20+'가운출고량(류)5월'!AG$21)</f>
        <v>0</v>
      </c>
      <c r="S17" s="426">
        <f>($D17/1.1)*('가운출고량(류)5월'!AH$20+'가운출고량(류)5월'!AH$21)</f>
        <v>0</v>
      </c>
      <c r="T17" s="426">
        <f>($D17/1.1)*('가운출고량(류)5월'!AI$20+'가운출고량(류)5월'!AI$21)</f>
        <v>0</v>
      </c>
      <c r="U17" s="426">
        <f>($D17/1.1)*('가운출고량(류)5월'!AJ$20+'가운출고량(류)5월'!AJ$21)</f>
        <v>0</v>
      </c>
      <c r="V17" s="426">
        <f>($D17/1.1)*('가운출고량(류)5월'!AK$20+'가운출고량(류)5월'!AK$21)</f>
        <v>0</v>
      </c>
      <c r="W17" s="426">
        <f>($D17/1.1)*('가운출고량(류)5월'!AL$20+'가운출고량(류)5월'!AL$21)</f>
        <v>0</v>
      </c>
      <c r="X17" s="426">
        <f>($D17/1.1)*('가운출고량(류)5월'!AM$20+'가운출고량(류)5월'!AM$21)</f>
        <v>0</v>
      </c>
      <c r="Y17" s="426">
        <f>($D17/1.1)*('가운출고량(류)5월'!AN$20+'가운출고량(류)5월'!AN$21)</f>
        <v>0</v>
      </c>
      <c r="Z17" s="426">
        <f>($D17/1.1)*('가운출고량(류)5월'!AO$20+'가운출고량(류)5월'!AO$21)</f>
        <v>0</v>
      </c>
      <c r="AA17" s="426">
        <f>($D17/1.1)*('가운출고량(류)5월'!AP$20+'가운출고량(류)5월'!AP$21)</f>
        <v>0</v>
      </c>
      <c r="AB17" s="426">
        <f>($D17/1.1)*('가운출고량(류)5월'!AQ$20+'가운출고량(류)5월'!AQ$21)</f>
        <v>0</v>
      </c>
      <c r="AC17" s="464">
        <f t="shared" si="11"/>
        <v>0</v>
      </c>
    </row>
    <row r="18" spans="1:30" s="332" customFormat="1" ht="17">
      <c r="A18" s="1252"/>
      <c r="B18" s="1248"/>
      <c r="C18" s="450" t="s">
        <v>377</v>
      </c>
      <c r="D18" s="451"/>
      <c r="E18" s="336">
        <f>E15+E16</f>
        <v>1636314</v>
      </c>
      <c r="F18" s="336">
        <f t="shared" ref="F18:P18" si="15">F15+F16</f>
        <v>1290999</v>
      </c>
      <c r="G18" s="336">
        <f t="shared" si="15"/>
        <v>1640892</v>
      </c>
      <c r="H18" s="336">
        <f t="shared" si="15"/>
        <v>1547874</v>
      </c>
      <c r="I18" s="336">
        <f t="shared" si="15"/>
        <v>1744671</v>
      </c>
      <c r="J18" s="336">
        <f t="shared" si="15"/>
        <v>1437402</v>
      </c>
      <c r="K18" s="336">
        <f t="shared" si="15"/>
        <v>1768948</v>
      </c>
      <c r="L18" s="336">
        <f t="shared" si="15"/>
        <v>1437792</v>
      </c>
      <c r="M18" s="336">
        <f t="shared" si="15"/>
        <v>1383306</v>
      </c>
      <c r="N18" s="336">
        <f t="shared" si="15"/>
        <v>1386861</v>
      </c>
      <c r="O18" s="336">
        <f t="shared" si="15"/>
        <v>1638733</v>
      </c>
      <c r="P18" s="452">
        <f t="shared" si="15"/>
        <v>1650421</v>
      </c>
      <c r="Q18" s="453">
        <f>SUM(Q15:Q17)</f>
        <v>1458267.2727272727</v>
      </c>
      <c r="R18" s="336">
        <f t="shared" ref="R18:AB18" si="16">SUM(R15:R17)</f>
        <v>1143119.0909090908</v>
      </c>
      <c r="S18" s="336">
        <f t="shared" si="16"/>
        <v>1319001.8181818181</v>
      </c>
      <c r="T18" s="451">
        <f t="shared" ref="T18" si="17">SUM(T15:T17)</f>
        <v>1277509.0909090908</v>
      </c>
      <c r="U18" s="451">
        <f t="shared" si="16"/>
        <v>1201270.9090909092</v>
      </c>
      <c r="V18" s="451">
        <f t="shared" si="16"/>
        <v>0</v>
      </c>
      <c r="W18" s="451">
        <f t="shared" si="16"/>
        <v>0</v>
      </c>
      <c r="X18" s="451">
        <f t="shared" si="16"/>
        <v>0</v>
      </c>
      <c r="Y18" s="451">
        <f t="shared" si="16"/>
        <v>0</v>
      </c>
      <c r="Z18" s="451">
        <f t="shared" si="16"/>
        <v>0</v>
      </c>
      <c r="AA18" s="451">
        <f t="shared" si="16"/>
        <v>0</v>
      </c>
      <c r="AB18" s="451">
        <f t="shared" si="16"/>
        <v>0</v>
      </c>
      <c r="AC18" s="470">
        <f t="shared" si="11"/>
        <v>6399168.1818181816</v>
      </c>
    </row>
    <row r="19" spans="1:30" s="332" customFormat="1" ht="17">
      <c r="A19" s="1253"/>
      <c r="B19" s="1254" t="s">
        <v>380</v>
      </c>
      <c r="C19" s="1255"/>
      <c r="D19" s="461"/>
      <c r="E19" s="461">
        <f>E14+E18</f>
        <v>1821114</v>
      </c>
      <c r="F19" s="461">
        <f t="shared" ref="F19:P19" si="18">F14+F18</f>
        <v>1442199</v>
      </c>
      <c r="G19" s="461">
        <f t="shared" si="18"/>
        <v>1820092</v>
      </c>
      <c r="H19" s="461">
        <f t="shared" si="18"/>
        <v>1699074</v>
      </c>
      <c r="I19" s="461">
        <f t="shared" si="18"/>
        <v>1940671</v>
      </c>
      <c r="J19" s="461">
        <f t="shared" si="18"/>
        <v>1577402</v>
      </c>
      <c r="K19" s="461">
        <f t="shared" si="18"/>
        <v>1914548</v>
      </c>
      <c r="L19" s="461">
        <f t="shared" si="18"/>
        <v>1697047</v>
      </c>
      <c r="M19" s="461">
        <f t="shared" si="18"/>
        <v>1612806</v>
      </c>
      <c r="N19" s="461">
        <f t="shared" si="18"/>
        <v>1599061</v>
      </c>
      <c r="O19" s="461">
        <f t="shared" si="18"/>
        <v>1782733</v>
      </c>
      <c r="P19" s="462">
        <f t="shared" si="18"/>
        <v>1822921</v>
      </c>
      <c r="Q19" s="463">
        <f>Q14+Q18</f>
        <v>1631721.8181818181</v>
      </c>
      <c r="R19" s="461">
        <f t="shared" ref="R19:AB19" si="19">R14+R18</f>
        <v>1289300.9090909089</v>
      </c>
      <c r="S19" s="461">
        <f t="shared" si="19"/>
        <v>1459183.6363636362</v>
      </c>
      <c r="T19" s="461">
        <f t="shared" ref="T19" si="20">T14+T18</f>
        <v>1459327.2727272727</v>
      </c>
      <c r="U19" s="461">
        <f t="shared" si="19"/>
        <v>1316907.2727272727</v>
      </c>
      <c r="V19" s="461">
        <f t="shared" si="19"/>
        <v>0</v>
      </c>
      <c r="W19" s="461">
        <f t="shared" si="19"/>
        <v>0</v>
      </c>
      <c r="X19" s="461">
        <f t="shared" si="19"/>
        <v>0</v>
      </c>
      <c r="Y19" s="461">
        <f t="shared" si="19"/>
        <v>0</v>
      </c>
      <c r="Z19" s="461">
        <f t="shared" si="19"/>
        <v>0</v>
      </c>
      <c r="AA19" s="461">
        <f t="shared" si="19"/>
        <v>0</v>
      </c>
      <c r="AB19" s="461">
        <f t="shared" si="19"/>
        <v>0</v>
      </c>
      <c r="AC19" s="464">
        <f t="shared" si="11"/>
        <v>7156440.9090909082</v>
      </c>
    </row>
    <row r="20" spans="1:30" s="332" customFormat="1" ht="17">
      <c r="A20" s="1240" t="s">
        <v>381</v>
      </c>
      <c r="B20" s="1241"/>
      <c r="C20" s="1242"/>
      <c r="D20" s="337"/>
      <c r="E20" s="338">
        <f>E11+E19</f>
        <v>3009412</v>
      </c>
      <c r="F20" s="338">
        <f t="shared" ref="F20:P20" si="21">F11+F19</f>
        <v>2474638</v>
      </c>
      <c r="G20" s="338">
        <f t="shared" si="21"/>
        <v>3055985</v>
      </c>
      <c r="H20" s="338">
        <f t="shared" si="21"/>
        <v>2745377</v>
      </c>
      <c r="I20" s="338">
        <f t="shared" si="21"/>
        <v>3195363</v>
      </c>
      <c r="J20" s="338">
        <f t="shared" si="21"/>
        <v>2752498</v>
      </c>
      <c r="K20" s="338">
        <f t="shared" si="21"/>
        <v>3221593</v>
      </c>
      <c r="L20" s="338">
        <f t="shared" si="21"/>
        <v>2974539</v>
      </c>
      <c r="M20" s="338">
        <f t="shared" si="21"/>
        <v>2553915</v>
      </c>
      <c r="N20" s="338">
        <f t="shared" si="21"/>
        <v>2707272</v>
      </c>
      <c r="O20" s="338">
        <f t="shared" si="21"/>
        <v>2952763</v>
      </c>
      <c r="P20" s="339">
        <f t="shared" si="21"/>
        <v>3039527</v>
      </c>
      <c r="Q20" s="340">
        <f>Q11+Q19</f>
        <v>2930626.3636363633</v>
      </c>
      <c r="R20" s="338">
        <f t="shared" ref="R20:AB20" si="22">R11+R19</f>
        <v>2318571.8181818179</v>
      </c>
      <c r="S20" s="338">
        <f t="shared" si="22"/>
        <v>2481007.2727272725</v>
      </c>
      <c r="T20" s="338">
        <f t="shared" ref="T20" si="23">T11+T19</f>
        <v>2661903.6363636362</v>
      </c>
      <c r="U20" s="338">
        <f t="shared" si="22"/>
        <v>2244105.4545454546</v>
      </c>
      <c r="V20" s="338">
        <f t="shared" si="22"/>
        <v>0</v>
      </c>
      <c r="W20" s="338">
        <f t="shared" si="22"/>
        <v>0</v>
      </c>
      <c r="X20" s="338">
        <f t="shared" si="22"/>
        <v>0</v>
      </c>
      <c r="Y20" s="338">
        <f t="shared" si="22"/>
        <v>0</v>
      </c>
      <c r="Z20" s="338">
        <f t="shared" si="22"/>
        <v>0</v>
      </c>
      <c r="AA20" s="338">
        <f t="shared" si="22"/>
        <v>0</v>
      </c>
      <c r="AB20" s="338">
        <f t="shared" si="22"/>
        <v>0</v>
      </c>
      <c r="AC20" s="341">
        <f t="shared" si="11"/>
        <v>12636214.545454545</v>
      </c>
    </row>
    <row r="21" spans="1:30" s="332" customFormat="1" ht="17">
      <c r="Q21" s="342"/>
      <c r="AC21" s="343"/>
    </row>
    <row r="22" spans="1:30">
      <c r="Q22" s="326"/>
      <c r="AC22" s="344"/>
      <c r="AD22" s="345"/>
    </row>
    <row r="23" spans="1:30">
      <c r="Q23" s="326"/>
      <c r="AD23" s="346"/>
    </row>
    <row r="24" spans="1:30">
      <c r="Q24" s="326"/>
    </row>
    <row r="25" spans="1:30">
      <c r="Q25" s="326"/>
    </row>
  </sheetData>
  <mergeCells count="9">
    <mergeCell ref="A20:C20"/>
    <mergeCell ref="A4:A11"/>
    <mergeCell ref="B4:B6"/>
    <mergeCell ref="B7:B10"/>
    <mergeCell ref="B11:C11"/>
    <mergeCell ref="A12:A19"/>
    <mergeCell ref="B12:B14"/>
    <mergeCell ref="B15:B18"/>
    <mergeCell ref="B19:C19"/>
  </mergeCells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B19C-BD76-47A0-9D71-0333DF1714FF}">
  <sheetPr>
    <tabColor rgb="FFFFCCCC"/>
  </sheetPr>
  <dimension ref="A1:AR28"/>
  <sheetViews>
    <sheetView showGridLines="0" workbookViewId="0">
      <selection activeCell="AJ4" sqref="AJ4:AJ18"/>
    </sheetView>
  </sheetViews>
  <sheetFormatPr baseColWidth="10" defaultColWidth="8.1640625" defaultRowHeight="14.25" customHeight="1"/>
  <cols>
    <col min="1" max="1" width="4.6640625" style="363" bestFit="1" customWidth="1"/>
    <col min="2" max="2" width="11.5" style="349" bestFit="1" customWidth="1"/>
    <col min="3" max="3" width="8" style="349" bestFit="1" customWidth="1"/>
    <col min="4" max="4" width="33.1640625" style="364" bestFit="1" customWidth="1"/>
    <col min="5" max="5" width="9.83203125" style="349" bestFit="1" customWidth="1"/>
    <col min="6" max="30" width="11" style="366" hidden="1" customWidth="1"/>
    <col min="31" max="31" width="7.5" style="366" hidden="1" customWidth="1"/>
    <col min="32" max="32" width="10.6640625" style="366" customWidth="1"/>
    <col min="33" max="43" width="10.6640625" style="358" customWidth="1"/>
    <col min="44" max="44" width="7.5" style="366" bestFit="1" customWidth="1"/>
    <col min="45" max="16384" width="8.1640625" style="358"/>
  </cols>
  <sheetData>
    <row r="1" spans="1:44" s="350" customFormat="1" ht="14.25" customHeight="1">
      <c r="A1" s="1256" t="s">
        <v>382</v>
      </c>
      <c r="B1" s="1256" t="s">
        <v>383</v>
      </c>
      <c r="C1" s="1256" t="s">
        <v>384</v>
      </c>
      <c r="D1" s="1256" t="s">
        <v>385</v>
      </c>
      <c r="E1" s="1256" t="s">
        <v>386</v>
      </c>
      <c r="F1" s="347" t="s">
        <v>387</v>
      </c>
      <c r="G1" s="347" t="s">
        <v>388</v>
      </c>
      <c r="H1" s="347" t="s">
        <v>389</v>
      </c>
      <c r="I1" s="347" t="s">
        <v>390</v>
      </c>
      <c r="J1" s="347" t="s">
        <v>391</v>
      </c>
      <c r="K1" s="347" t="s">
        <v>392</v>
      </c>
      <c r="L1" s="347" t="s">
        <v>393</v>
      </c>
      <c r="M1" s="347" t="s">
        <v>394</v>
      </c>
      <c r="N1" s="347" t="s">
        <v>395</v>
      </c>
      <c r="O1" s="347" t="s">
        <v>396</v>
      </c>
      <c r="P1" s="347" t="s">
        <v>397</v>
      </c>
      <c r="Q1" s="347" t="s">
        <v>398</v>
      </c>
      <c r="R1" s="347" t="s">
        <v>399</v>
      </c>
      <c r="S1" s="348" t="s">
        <v>400</v>
      </c>
      <c r="T1" s="348" t="s">
        <v>401</v>
      </c>
      <c r="U1" s="348" t="s">
        <v>402</v>
      </c>
      <c r="V1" s="348" t="s">
        <v>403</v>
      </c>
      <c r="W1" s="348" t="s">
        <v>404</v>
      </c>
      <c r="X1" s="348" t="s">
        <v>405</v>
      </c>
      <c r="Y1" s="348" t="s">
        <v>406</v>
      </c>
      <c r="Z1" s="348" t="s">
        <v>407</v>
      </c>
      <c r="AA1" s="348" t="s">
        <v>408</v>
      </c>
      <c r="AB1" s="348" t="s">
        <v>409</v>
      </c>
      <c r="AC1" s="348" t="s">
        <v>410</v>
      </c>
      <c r="AD1" s="348" t="s">
        <v>411</v>
      </c>
      <c r="AE1" s="347" t="s">
        <v>399</v>
      </c>
      <c r="AF1" s="348" t="s">
        <v>464</v>
      </c>
      <c r="AG1" s="348" t="s">
        <v>465</v>
      </c>
      <c r="AH1" s="348" t="s">
        <v>466</v>
      </c>
      <c r="AI1" s="348" t="s">
        <v>467</v>
      </c>
      <c r="AJ1" s="348" t="s">
        <v>468</v>
      </c>
      <c r="AK1" s="348" t="s">
        <v>469</v>
      </c>
      <c r="AL1" s="348" t="s">
        <v>470</v>
      </c>
      <c r="AM1" s="348" t="s">
        <v>471</v>
      </c>
      <c r="AN1" s="348" t="s">
        <v>472</v>
      </c>
      <c r="AO1" s="348" t="s">
        <v>473</v>
      </c>
      <c r="AP1" s="348" t="s">
        <v>474</v>
      </c>
      <c r="AQ1" s="348" t="s">
        <v>475</v>
      </c>
      <c r="AR1" s="347" t="s">
        <v>399</v>
      </c>
    </row>
    <row r="2" spans="1:44" s="350" customFormat="1" ht="14.25" customHeight="1">
      <c r="A2" s="1256" t="s">
        <v>382</v>
      </c>
      <c r="B2" s="1256"/>
      <c r="C2" s="1256"/>
      <c r="D2" s="1256"/>
      <c r="E2" s="1256"/>
      <c r="F2" s="347" t="s">
        <v>412</v>
      </c>
      <c r="G2" s="347" t="s">
        <v>412</v>
      </c>
      <c r="H2" s="347" t="s">
        <v>412</v>
      </c>
      <c r="I2" s="347" t="s">
        <v>412</v>
      </c>
      <c r="J2" s="347" t="s">
        <v>412</v>
      </c>
      <c r="K2" s="347" t="s">
        <v>412</v>
      </c>
      <c r="L2" s="347" t="s">
        <v>412</v>
      </c>
      <c r="M2" s="347" t="s">
        <v>412</v>
      </c>
      <c r="N2" s="347" t="s">
        <v>412</v>
      </c>
      <c r="O2" s="347" t="s">
        <v>412</v>
      </c>
      <c r="P2" s="347" t="s">
        <v>412</v>
      </c>
      <c r="Q2" s="347" t="s">
        <v>412</v>
      </c>
      <c r="R2" s="347" t="s">
        <v>412</v>
      </c>
      <c r="S2" s="348" t="s">
        <v>412</v>
      </c>
      <c r="T2" s="348" t="s">
        <v>412</v>
      </c>
      <c r="U2" s="348" t="s">
        <v>412</v>
      </c>
      <c r="V2" s="348" t="s">
        <v>412</v>
      </c>
      <c r="W2" s="348" t="s">
        <v>412</v>
      </c>
      <c r="X2" s="348" t="s">
        <v>412</v>
      </c>
      <c r="Y2" s="348" t="s">
        <v>412</v>
      </c>
      <c r="Z2" s="348" t="s">
        <v>412</v>
      </c>
      <c r="AA2" s="348" t="s">
        <v>412</v>
      </c>
      <c r="AB2" s="348" t="s">
        <v>412</v>
      </c>
      <c r="AC2" s="348" t="s">
        <v>412</v>
      </c>
      <c r="AD2" s="348" t="s">
        <v>412</v>
      </c>
      <c r="AE2" s="347" t="s">
        <v>412</v>
      </c>
      <c r="AF2" s="348" t="s">
        <v>412</v>
      </c>
      <c r="AG2" s="348" t="s">
        <v>412</v>
      </c>
      <c r="AH2" s="348" t="s">
        <v>412</v>
      </c>
      <c r="AI2" s="348" t="s">
        <v>412</v>
      </c>
      <c r="AJ2" s="348" t="s">
        <v>412</v>
      </c>
      <c r="AK2" s="348" t="s">
        <v>412</v>
      </c>
      <c r="AL2" s="348" t="s">
        <v>412</v>
      </c>
      <c r="AM2" s="348" t="s">
        <v>412</v>
      </c>
      <c r="AN2" s="348" t="s">
        <v>412</v>
      </c>
      <c r="AO2" s="348" t="s">
        <v>412</v>
      </c>
      <c r="AP2" s="348" t="s">
        <v>412</v>
      </c>
      <c r="AQ2" s="348" t="s">
        <v>412</v>
      </c>
      <c r="AR2" s="347" t="s">
        <v>412</v>
      </c>
    </row>
    <row r="3" spans="1:44" ht="14.25" customHeight="1">
      <c r="A3" s="351">
        <v>1</v>
      </c>
      <c r="B3" s="352" t="s">
        <v>413</v>
      </c>
      <c r="C3" s="353" t="s">
        <v>414</v>
      </c>
      <c r="D3" s="354" t="s">
        <v>415</v>
      </c>
      <c r="E3" s="353" t="s">
        <v>416</v>
      </c>
      <c r="F3" s="355">
        <v>420</v>
      </c>
      <c r="G3" s="355">
        <v>384</v>
      </c>
      <c r="H3" s="355">
        <v>468</v>
      </c>
      <c r="I3" s="355">
        <v>396</v>
      </c>
      <c r="J3" s="355">
        <v>528</v>
      </c>
      <c r="K3" s="355">
        <v>468</v>
      </c>
      <c r="L3" s="355">
        <v>576</v>
      </c>
      <c r="M3" s="355">
        <v>612</v>
      </c>
      <c r="N3" s="355">
        <v>372</v>
      </c>
      <c r="O3" s="355">
        <v>480</v>
      </c>
      <c r="P3" s="355">
        <v>444</v>
      </c>
      <c r="Q3" s="355">
        <v>456</v>
      </c>
      <c r="R3" s="355">
        <f>SUM(F3:Q3)</f>
        <v>5604</v>
      </c>
      <c r="S3" s="356">
        <v>432</v>
      </c>
      <c r="T3" s="356">
        <v>444</v>
      </c>
      <c r="U3" s="356">
        <v>432</v>
      </c>
      <c r="V3" s="356">
        <v>480</v>
      </c>
      <c r="W3" s="356">
        <v>384</v>
      </c>
      <c r="X3" s="356">
        <v>384</v>
      </c>
      <c r="Y3" s="356">
        <v>432</v>
      </c>
      <c r="Z3" s="356">
        <v>432</v>
      </c>
      <c r="AA3" s="356">
        <v>468</v>
      </c>
      <c r="AB3" s="356">
        <v>384</v>
      </c>
      <c r="AC3" s="356">
        <v>408</v>
      </c>
      <c r="AD3" s="356">
        <v>516</v>
      </c>
      <c r="AE3" s="357">
        <f>SUM(S3:AD3)</f>
        <v>5196</v>
      </c>
      <c r="AF3" s="427">
        <v>552</v>
      </c>
      <c r="AG3" s="427">
        <v>408</v>
      </c>
      <c r="AH3" s="427">
        <v>372</v>
      </c>
      <c r="AI3" s="427">
        <v>480</v>
      </c>
      <c r="AJ3" s="427">
        <v>372</v>
      </c>
      <c r="AK3" s="427"/>
      <c r="AL3" s="427"/>
      <c r="AM3" s="427"/>
      <c r="AN3" s="427"/>
      <c r="AO3" s="427"/>
      <c r="AP3" s="427"/>
      <c r="AQ3" s="427"/>
      <c r="AR3" s="357">
        <f>SUM(AF3:AQ3)</f>
        <v>2184</v>
      </c>
    </row>
    <row r="4" spans="1:44" ht="14.25" customHeight="1">
      <c r="A4" s="351">
        <v>2</v>
      </c>
      <c r="B4" s="352" t="s">
        <v>413</v>
      </c>
      <c r="C4" s="353" t="s">
        <v>417</v>
      </c>
      <c r="D4" s="354" t="s">
        <v>415</v>
      </c>
      <c r="E4" s="353" t="s">
        <v>418</v>
      </c>
      <c r="F4" s="355">
        <v>444</v>
      </c>
      <c r="G4" s="355">
        <v>408</v>
      </c>
      <c r="H4" s="355">
        <v>516</v>
      </c>
      <c r="I4" s="355">
        <v>468</v>
      </c>
      <c r="J4" s="355">
        <v>528</v>
      </c>
      <c r="K4" s="355">
        <v>480</v>
      </c>
      <c r="L4" s="355">
        <v>564</v>
      </c>
      <c r="M4" s="355">
        <v>504</v>
      </c>
      <c r="N4" s="355">
        <v>360</v>
      </c>
      <c r="O4" s="355">
        <v>468</v>
      </c>
      <c r="P4" s="355">
        <v>456</v>
      </c>
      <c r="Q4" s="355">
        <v>492</v>
      </c>
      <c r="R4" s="355">
        <f t="shared" ref="R4:R12" si="0">SUM(F4:Q4)</f>
        <v>5688</v>
      </c>
      <c r="S4" s="356">
        <v>396</v>
      </c>
      <c r="T4" s="356">
        <v>408</v>
      </c>
      <c r="U4" s="356">
        <v>408</v>
      </c>
      <c r="V4" s="356">
        <v>492</v>
      </c>
      <c r="W4" s="356">
        <v>396</v>
      </c>
      <c r="X4" s="356">
        <v>420</v>
      </c>
      <c r="Y4" s="356">
        <v>456</v>
      </c>
      <c r="Z4" s="356">
        <v>372</v>
      </c>
      <c r="AA4" s="356">
        <v>480</v>
      </c>
      <c r="AB4" s="356">
        <v>384</v>
      </c>
      <c r="AC4" s="356">
        <v>372</v>
      </c>
      <c r="AD4" s="356">
        <v>492</v>
      </c>
      <c r="AE4" s="357">
        <f t="shared" ref="AE4:AE12" si="1">SUM(S4:AD4)</f>
        <v>5076</v>
      </c>
      <c r="AF4" s="427">
        <v>504</v>
      </c>
      <c r="AG4" s="427">
        <v>396</v>
      </c>
      <c r="AH4" s="427">
        <v>336</v>
      </c>
      <c r="AI4" s="427">
        <v>432</v>
      </c>
      <c r="AJ4" s="427">
        <v>312</v>
      </c>
      <c r="AK4" s="427"/>
      <c r="AL4" s="427"/>
      <c r="AM4" s="427"/>
      <c r="AN4" s="427"/>
      <c r="AO4" s="427"/>
      <c r="AP4" s="427"/>
      <c r="AQ4" s="427"/>
      <c r="AR4" s="357">
        <f t="shared" ref="AR4:AR12" si="2">SUM(AF4:AQ4)</f>
        <v>1980</v>
      </c>
    </row>
    <row r="5" spans="1:44" ht="14.25" customHeight="1">
      <c r="A5" s="351">
        <v>3</v>
      </c>
      <c r="B5" s="352" t="s">
        <v>413</v>
      </c>
      <c r="C5" s="353" t="s">
        <v>419</v>
      </c>
      <c r="D5" s="354" t="s">
        <v>420</v>
      </c>
      <c r="E5" s="353" t="s">
        <v>416</v>
      </c>
      <c r="F5" s="355">
        <v>480</v>
      </c>
      <c r="G5" s="355">
        <v>390</v>
      </c>
      <c r="H5" s="355">
        <v>510</v>
      </c>
      <c r="I5" s="355">
        <v>405</v>
      </c>
      <c r="J5" s="355">
        <v>480</v>
      </c>
      <c r="K5" s="355">
        <v>435</v>
      </c>
      <c r="L5" s="355">
        <v>480</v>
      </c>
      <c r="M5" s="355">
        <v>405</v>
      </c>
      <c r="N5" s="355">
        <v>360</v>
      </c>
      <c r="O5" s="355">
        <v>435</v>
      </c>
      <c r="P5" s="355">
        <v>510</v>
      </c>
      <c r="Q5" s="355">
        <v>495</v>
      </c>
      <c r="R5" s="355">
        <f t="shared" si="0"/>
        <v>5385</v>
      </c>
      <c r="S5" s="356">
        <v>448</v>
      </c>
      <c r="T5" s="356">
        <v>540</v>
      </c>
      <c r="U5" s="356">
        <v>465</v>
      </c>
      <c r="V5" s="356">
        <v>540</v>
      </c>
      <c r="W5" s="356">
        <v>375</v>
      </c>
      <c r="X5" s="356">
        <v>510</v>
      </c>
      <c r="Y5" s="356">
        <v>420</v>
      </c>
      <c r="Z5" s="356">
        <v>480</v>
      </c>
      <c r="AA5" s="356">
        <v>420</v>
      </c>
      <c r="AB5" s="356">
        <v>390</v>
      </c>
      <c r="AC5" s="356">
        <v>450</v>
      </c>
      <c r="AD5" s="356">
        <v>570</v>
      </c>
      <c r="AE5" s="357">
        <f t="shared" si="1"/>
        <v>5608</v>
      </c>
      <c r="AF5" s="427">
        <v>539</v>
      </c>
      <c r="AG5" s="427">
        <v>420</v>
      </c>
      <c r="AH5" s="427">
        <v>450</v>
      </c>
      <c r="AI5" s="427">
        <v>480</v>
      </c>
      <c r="AJ5" s="427">
        <v>420</v>
      </c>
      <c r="AK5" s="427"/>
      <c r="AL5" s="427"/>
      <c r="AM5" s="427"/>
      <c r="AN5" s="427"/>
      <c r="AO5" s="427"/>
      <c r="AP5" s="427"/>
      <c r="AQ5" s="427"/>
      <c r="AR5" s="357">
        <f t="shared" si="2"/>
        <v>2309</v>
      </c>
    </row>
    <row r="6" spans="1:44" ht="14.25" customHeight="1">
      <c r="A6" s="351">
        <v>4</v>
      </c>
      <c r="B6" s="352" t="s">
        <v>413</v>
      </c>
      <c r="C6" s="353" t="s">
        <v>421</v>
      </c>
      <c r="D6" s="354" t="s">
        <v>420</v>
      </c>
      <c r="E6" s="353" t="s">
        <v>418</v>
      </c>
      <c r="F6" s="355">
        <v>210</v>
      </c>
      <c r="G6" s="355">
        <v>165</v>
      </c>
      <c r="H6" s="355">
        <v>195</v>
      </c>
      <c r="I6" s="355">
        <v>150</v>
      </c>
      <c r="J6" s="355">
        <v>180</v>
      </c>
      <c r="K6" s="355">
        <v>225</v>
      </c>
      <c r="L6" s="355">
        <v>165</v>
      </c>
      <c r="M6" s="355">
        <v>195</v>
      </c>
      <c r="N6" s="355">
        <v>165</v>
      </c>
      <c r="O6" s="355">
        <v>120</v>
      </c>
      <c r="P6" s="355">
        <v>180</v>
      </c>
      <c r="Q6" s="355">
        <v>195</v>
      </c>
      <c r="R6" s="355">
        <f t="shared" si="0"/>
        <v>2145</v>
      </c>
      <c r="S6" s="356">
        <v>150</v>
      </c>
      <c r="T6" s="356">
        <v>210</v>
      </c>
      <c r="U6" s="356">
        <v>120</v>
      </c>
      <c r="V6" s="356">
        <v>195</v>
      </c>
      <c r="W6" s="356">
        <v>90</v>
      </c>
      <c r="X6" s="356">
        <v>150</v>
      </c>
      <c r="Y6" s="356">
        <v>270</v>
      </c>
      <c r="Z6" s="356">
        <v>180</v>
      </c>
      <c r="AA6" s="356">
        <v>180</v>
      </c>
      <c r="AB6" s="356">
        <v>120</v>
      </c>
      <c r="AC6" s="356">
        <v>120</v>
      </c>
      <c r="AD6" s="356">
        <v>210</v>
      </c>
      <c r="AE6" s="357">
        <f t="shared" si="1"/>
        <v>1995</v>
      </c>
      <c r="AF6" s="427">
        <v>180</v>
      </c>
      <c r="AG6" s="427">
        <v>150</v>
      </c>
      <c r="AH6" s="427">
        <v>180</v>
      </c>
      <c r="AI6" s="427">
        <v>210</v>
      </c>
      <c r="AJ6" s="427">
        <v>150</v>
      </c>
      <c r="AK6" s="427"/>
      <c r="AL6" s="427"/>
      <c r="AM6" s="427"/>
      <c r="AN6" s="427"/>
      <c r="AO6" s="427"/>
      <c r="AP6" s="427"/>
      <c r="AQ6" s="427"/>
      <c r="AR6" s="357">
        <f t="shared" si="2"/>
        <v>870</v>
      </c>
    </row>
    <row r="7" spans="1:44" ht="14.25" customHeight="1">
      <c r="A7" s="351">
        <v>5</v>
      </c>
      <c r="B7" s="352" t="s">
        <v>413</v>
      </c>
      <c r="C7" s="353" t="s">
        <v>422</v>
      </c>
      <c r="D7" s="354" t="s">
        <v>423</v>
      </c>
      <c r="E7" s="353" t="s">
        <v>416</v>
      </c>
      <c r="F7" s="355">
        <v>325</v>
      </c>
      <c r="G7" s="355">
        <v>275</v>
      </c>
      <c r="H7" s="355">
        <v>200</v>
      </c>
      <c r="I7" s="355">
        <v>200</v>
      </c>
      <c r="J7" s="355">
        <v>200</v>
      </c>
      <c r="K7" s="355">
        <v>150</v>
      </c>
      <c r="L7" s="355">
        <v>150</v>
      </c>
      <c r="M7" s="355">
        <v>200</v>
      </c>
      <c r="N7" s="355">
        <v>150</v>
      </c>
      <c r="O7" s="355">
        <v>100</v>
      </c>
      <c r="P7" s="355">
        <v>100</v>
      </c>
      <c r="Q7" s="355">
        <v>200</v>
      </c>
      <c r="R7" s="355">
        <f t="shared" si="0"/>
        <v>2250</v>
      </c>
      <c r="S7" s="356">
        <v>200</v>
      </c>
      <c r="T7" s="356">
        <v>250</v>
      </c>
      <c r="U7" s="356">
        <v>75</v>
      </c>
      <c r="V7" s="356"/>
      <c r="W7" s="356">
        <v>25</v>
      </c>
      <c r="X7" s="356">
        <v>50</v>
      </c>
      <c r="Y7" s="356">
        <v>25</v>
      </c>
      <c r="Z7" s="356">
        <v>50</v>
      </c>
      <c r="AA7" s="356">
        <v>50</v>
      </c>
      <c r="AB7" s="356">
        <v>50</v>
      </c>
      <c r="AC7" s="356">
        <v>50</v>
      </c>
      <c r="AD7" s="356">
        <v>50</v>
      </c>
      <c r="AE7" s="357">
        <f t="shared" si="1"/>
        <v>875</v>
      </c>
      <c r="AF7" s="427">
        <v>25</v>
      </c>
      <c r="AG7" s="427">
        <v>25</v>
      </c>
      <c r="AH7" s="427">
        <v>25</v>
      </c>
      <c r="AI7" s="427">
        <v>50</v>
      </c>
      <c r="AJ7" s="427">
        <v>25</v>
      </c>
      <c r="AK7" s="427"/>
      <c r="AL7" s="427"/>
      <c r="AM7" s="427"/>
      <c r="AN7" s="427"/>
      <c r="AO7" s="427"/>
      <c r="AP7" s="427"/>
      <c r="AQ7" s="427"/>
      <c r="AR7" s="357">
        <f t="shared" si="2"/>
        <v>150</v>
      </c>
    </row>
    <row r="8" spans="1:44" ht="14.25" customHeight="1">
      <c r="A8" s="351">
        <v>6</v>
      </c>
      <c r="B8" s="352" t="s">
        <v>413</v>
      </c>
      <c r="C8" s="353" t="s">
        <v>424</v>
      </c>
      <c r="D8" s="354" t="s">
        <v>425</v>
      </c>
      <c r="E8" s="353" t="s">
        <v>426</v>
      </c>
      <c r="F8" s="355">
        <v>175</v>
      </c>
      <c r="G8" s="355">
        <v>150</v>
      </c>
      <c r="H8" s="355">
        <v>75</v>
      </c>
      <c r="I8" s="355">
        <v>50</v>
      </c>
      <c r="J8" s="355">
        <v>50</v>
      </c>
      <c r="K8" s="355">
        <v>100</v>
      </c>
      <c r="L8" s="355">
        <v>100</v>
      </c>
      <c r="M8" s="355">
        <v>125</v>
      </c>
      <c r="N8" s="355">
        <v>150</v>
      </c>
      <c r="O8" s="355">
        <v>150</v>
      </c>
      <c r="P8" s="355">
        <v>200</v>
      </c>
      <c r="Q8" s="355">
        <v>150</v>
      </c>
      <c r="R8" s="355">
        <f t="shared" si="0"/>
        <v>1475</v>
      </c>
      <c r="S8" s="356">
        <v>200</v>
      </c>
      <c r="T8" s="356">
        <v>100</v>
      </c>
      <c r="U8" s="356">
        <v>100</v>
      </c>
      <c r="V8" s="356">
        <v>175</v>
      </c>
      <c r="W8" s="356">
        <v>75</v>
      </c>
      <c r="X8" s="356">
        <v>25</v>
      </c>
      <c r="Y8" s="356">
        <v>50</v>
      </c>
      <c r="Z8" s="356">
        <v>25</v>
      </c>
      <c r="AA8" s="356">
        <v>50</v>
      </c>
      <c r="AB8" s="356">
        <v>50</v>
      </c>
      <c r="AC8" s="356">
        <v>25</v>
      </c>
      <c r="AD8" s="356">
        <v>25</v>
      </c>
      <c r="AE8" s="357">
        <f t="shared" si="1"/>
        <v>900</v>
      </c>
      <c r="AF8" s="427">
        <v>25</v>
      </c>
      <c r="AG8" s="427">
        <v>25</v>
      </c>
      <c r="AH8" s="427">
        <v>0</v>
      </c>
      <c r="AI8" s="427">
        <v>50</v>
      </c>
      <c r="AJ8" s="427">
        <v>0</v>
      </c>
      <c r="AK8" s="427"/>
      <c r="AL8" s="427"/>
      <c r="AM8" s="427"/>
      <c r="AN8" s="427"/>
      <c r="AO8" s="427"/>
      <c r="AP8" s="427"/>
      <c r="AQ8" s="427"/>
      <c r="AR8" s="357">
        <f t="shared" si="2"/>
        <v>100</v>
      </c>
    </row>
    <row r="9" spans="1:44" ht="14.25" customHeight="1">
      <c r="A9" s="351">
        <v>7</v>
      </c>
      <c r="B9" s="352" t="s">
        <v>413</v>
      </c>
      <c r="C9" s="353" t="s">
        <v>427</v>
      </c>
      <c r="D9" s="354" t="s">
        <v>428</v>
      </c>
      <c r="E9" s="353" t="s">
        <v>429</v>
      </c>
      <c r="F9" s="359"/>
      <c r="G9" s="359"/>
      <c r="H9" s="359"/>
      <c r="I9" s="359"/>
      <c r="J9" s="359"/>
      <c r="K9" s="359"/>
      <c r="L9" s="359"/>
      <c r="M9" s="355"/>
      <c r="N9" s="355"/>
      <c r="O9" s="355"/>
      <c r="P9" s="355"/>
      <c r="Q9" s="355"/>
      <c r="R9" s="355">
        <f t="shared" si="0"/>
        <v>0</v>
      </c>
      <c r="S9" s="356"/>
      <c r="T9" s="356"/>
      <c r="U9" s="356">
        <v>240</v>
      </c>
      <c r="V9" s="356">
        <v>420</v>
      </c>
      <c r="W9" s="356">
        <v>240</v>
      </c>
      <c r="X9" s="356">
        <v>240</v>
      </c>
      <c r="Y9" s="356">
        <v>420</v>
      </c>
      <c r="Z9" s="356">
        <v>240</v>
      </c>
      <c r="AA9" s="356">
        <v>360</v>
      </c>
      <c r="AB9" s="356">
        <v>240</v>
      </c>
      <c r="AC9" s="356">
        <v>300</v>
      </c>
      <c r="AD9" s="356">
        <v>360</v>
      </c>
      <c r="AE9" s="357">
        <f t="shared" si="1"/>
        <v>3060</v>
      </c>
      <c r="AF9" s="427">
        <v>240</v>
      </c>
      <c r="AG9" s="427">
        <v>240</v>
      </c>
      <c r="AH9" s="427">
        <v>300</v>
      </c>
      <c r="AI9" s="427">
        <v>360</v>
      </c>
      <c r="AJ9" s="427">
        <v>240</v>
      </c>
      <c r="AK9" s="427"/>
      <c r="AL9" s="427"/>
      <c r="AM9" s="427"/>
      <c r="AN9" s="427"/>
      <c r="AO9" s="427"/>
      <c r="AP9" s="427"/>
      <c r="AQ9" s="427"/>
      <c r="AR9" s="357">
        <f t="shared" si="2"/>
        <v>1380</v>
      </c>
    </row>
    <row r="10" spans="1:44" ht="14.25" customHeight="1">
      <c r="A10" s="351">
        <v>8</v>
      </c>
      <c r="B10" s="352" t="s">
        <v>413</v>
      </c>
      <c r="C10" s="353">
        <v>44037</v>
      </c>
      <c r="D10" s="354" t="s">
        <v>430</v>
      </c>
      <c r="E10" s="353" t="s">
        <v>431</v>
      </c>
      <c r="F10" s="355"/>
      <c r="G10" s="355"/>
      <c r="H10" s="355"/>
      <c r="I10" s="355"/>
      <c r="J10" s="355"/>
      <c r="K10" s="355"/>
      <c r="L10" s="355"/>
      <c r="M10" s="355"/>
      <c r="N10" s="355"/>
      <c r="O10" s="355"/>
      <c r="P10" s="355"/>
      <c r="Q10" s="355"/>
      <c r="R10" s="355">
        <f t="shared" si="0"/>
        <v>0</v>
      </c>
      <c r="S10" s="356"/>
      <c r="T10" s="356"/>
      <c r="U10" s="356"/>
      <c r="V10" s="356">
        <v>240</v>
      </c>
      <c r="W10" s="356">
        <v>80</v>
      </c>
      <c r="X10" s="356">
        <v>200</v>
      </c>
      <c r="Y10" s="356">
        <v>240</v>
      </c>
      <c r="Z10" s="356">
        <v>160</v>
      </c>
      <c r="AA10" s="356">
        <v>80</v>
      </c>
      <c r="AB10" s="356">
        <v>160</v>
      </c>
      <c r="AC10" s="356">
        <v>120</v>
      </c>
      <c r="AD10" s="356">
        <v>120</v>
      </c>
      <c r="AE10" s="357">
        <f t="shared" si="1"/>
        <v>1400</v>
      </c>
      <c r="AF10" s="427">
        <v>190</v>
      </c>
      <c r="AG10" s="427">
        <v>160</v>
      </c>
      <c r="AH10" s="427">
        <v>80</v>
      </c>
      <c r="AI10" s="427">
        <v>120</v>
      </c>
      <c r="AJ10" s="427">
        <v>80</v>
      </c>
      <c r="AK10" s="427"/>
      <c r="AL10" s="427"/>
      <c r="AM10" s="427"/>
      <c r="AN10" s="427"/>
      <c r="AO10" s="427"/>
      <c r="AP10" s="427"/>
      <c r="AQ10" s="427"/>
      <c r="AR10" s="357">
        <f t="shared" si="2"/>
        <v>630</v>
      </c>
    </row>
    <row r="11" spans="1:44" ht="14.25" customHeight="1">
      <c r="A11" s="351">
        <v>9</v>
      </c>
      <c r="B11" s="352" t="s">
        <v>413</v>
      </c>
      <c r="C11" s="353">
        <v>44038</v>
      </c>
      <c r="D11" s="354" t="s">
        <v>432</v>
      </c>
      <c r="E11" s="353" t="s">
        <v>433</v>
      </c>
      <c r="F11" s="355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5">
        <f t="shared" si="0"/>
        <v>0</v>
      </c>
      <c r="S11" s="356"/>
      <c r="T11" s="356"/>
      <c r="U11" s="356"/>
      <c r="V11" s="356">
        <v>560</v>
      </c>
      <c r="W11" s="356">
        <v>240</v>
      </c>
      <c r="X11" s="356">
        <v>360</v>
      </c>
      <c r="Y11" s="356">
        <v>520</v>
      </c>
      <c r="Z11" s="356">
        <v>480</v>
      </c>
      <c r="AA11" s="356">
        <v>80</v>
      </c>
      <c r="AB11" s="356">
        <v>280</v>
      </c>
      <c r="AC11" s="356">
        <v>440</v>
      </c>
      <c r="AD11" s="356">
        <v>480</v>
      </c>
      <c r="AE11" s="357">
        <f t="shared" si="1"/>
        <v>3440</v>
      </c>
      <c r="AF11" s="427">
        <v>400</v>
      </c>
      <c r="AG11" s="427">
        <v>360</v>
      </c>
      <c r="AH11" s="427">
        <v>520</v>
      </c>
      <c r="AI11" s="427">
        <v>400</v>
      </c>
      <c r="AJ11" s="427">
        <v>360</v>
      </c>
      <c r="AK11" s="427"/>
      <c r="AL11" s="427"/>
      <c r="AM11" s="427"/>
      <c r="AN11" s="427"/>
      <c r="AO11" s="427"/>
      <c r="AP11" s="427"/>
      <c r="AQ11" s="427"/>
      <c r="AR11" s="357">
        <f t="shared" si="2"/>
        <v>2040</v>
      </c>
    </row>
    <row r="12" spans="1:44" ht="14.25" customHeight="1">
      <c r="A12" s="360"/>
      <c r="B12" s="352"/>
      <c r="C12" s="352"/>
      <c r="D12" s="429"/>
      <c r="E12" s="352"/>
      <c r="F12" s="430">
        <f t="shared" ref="F12:Q12" si="3">SUM(F3:F8)</f>
        <v>2054</v>
      </c>
      <c r="G12" s="430">
        <f t="shared" si="3"/>
        <v>1772</v>
      </c>
      <c r="H12" s="430">
        <f t="shared" si="3"/>
        <v>1964</v>
      </c>
      <c r="I12" s="430">
        <f t="shared" si="3"/>
        <v>1669</v>
      </c>
      <c r="J12" s="430">
        <f t="shared" si="3"/>
        <v>1966</v>
      </c>
      <c r="K12" s="430">
        <f t="shared" si="3"/>
        <v>1858</v>
      </c>
      <c r="L12" s="430">
        <f t="shared" si="3"/>
        <v>2035</v>
      </c>
      <c r="M12" s="430">
        <f t="shared" si="3"/>
        <v>2041</v>
      </c>
      <c r="N12" s="430">
        <f t="shared" si="3"/>
        <v>1557</v>
      </c>
      <c r="O12" s="430">
        <f t="shared" si="3"/>
        <v>1753</v>
      </c>
      <c r="P12" s="430">
        <f t="shared" si="3"/>
        <v>1890</v>
      </c>
      <c r="Q12" s="430">
        <f t="shared" si="3"/>
        <v>1988</v>
      </c>
      <c r="R12" s="430">
        <f t="shared" si="0"/>
        <v>22547</v>
      </c>
      <c r="S12" s="431">
        <f>SUM(S3:S11)</f>
        <v>1826</v>
      </c>
      <c r="T12" s="431">
        <f t="shared" ref="T12:AD12" si="4">SUM(T3:T11)</f>
        <v>1952</v>
      </c>
      <c r="U12" s="431">
        <f>SUM(U3:U11)</f>
        <v>1840</v>
      </c>
      <c r="V12" s="431">
        <f t="shared" si="4"/>
        <v>3102</v>
      </c>
      <c r="W12" s="431">
        <f t="shared" si="4"/>
        <v>1905</v>
      </c>
      <c r="X12" s="431">
        <f t="shared" si="4"/>
        <v>2339</v>
      </c>
      <c r="Y12" s="431">
        <f t="shared" si="4"/>
        <v>2833</v>
      </c>
      <c r="Z12" s="431">
        <f t="shared" si="4"/>
        <v>2419</v>
      </c>
      <c r="AA12" s="431">
        <f>SUM(AA3:AA11)</f>
        <v>2168</v>
      </c>
      <c r="AB12" s="431">
        <f t="shared" si="4"/>
        <v>2058</v>
      </c>
      <c r="AC12" s="431">
        <f t="shared" si="4"/>
        <v>2285</v>
      </c>
      <c r="AD12" s="431">
        <f t="shared" si="4"/>
        <v>2823</v>
      </c>
      <c r="AE12" s="431">
        <f t="shared" si="1"/>
        <v>27550</v>
      </c>
      <c r="AF12" s="431">
        <f>SUM(AF3:AF11)</f>
        <v>2655</v>
      </c>
      <c r="AG12" s="431">
        <f t="shared" ref="AG12:AQ12" si="5">SUM(AG3:AG11)</f>
        <v>2184</v>
      </c>
      <c r="AH12" s="431">
        <f>SUM(AH3:AH11)</f>
        <v>2263</v>
      </c>
      <c r="AI12" s="431">
        <f>SUM(AI3:AI11)</f>
        <v>2582</v>
      </c>
      <c r="AJ12" s="431">
        <f>SUM(AJ3:AJ11)</f>
        <v>1959</v>
      </c>
      <c r="AK12" s="431">
        <f t="shared" si="5"/>
        <v>0</v>
      </c>
      <c r="AL12" s="431">
        <f t="shared" si="5"/>
        <v>0</v>
      </c>
      <c r="AM12" s="431">
        <f t="shared" si="5"/>
        <v>0</v>
      </c>
      <c r="AN12" s="431">
        <f t="shared" si="5"/>
        <v>0</v>
      </c>
      <c r="AO12" s="431">
        <f t="shared" si="5"/>
        <v>0</v>
      </c>
      <c r="AP12" s="431">
        <f t="shared" si="5"/>
        <v>0</v>
      </c>
      <c r="AQ12" s="431">
        <f t="shared" si="5"/>
        <v>0</v>
      </c>
      <c r="AR12" s="431">
        <f t="shared" si="2"/>
        <v>11643</v>
      </c>
    </row>
    <row r="13" spans="1:44" ht="14.25" customHeight="1">
      <c r="A13" s="351">
        <v>1</v>
      </c>
      <c r="B13" s="457" t="s">
        <v>434</v>
      </c>
      <c r="C13" s="353" t="s">
        <v>414</v>
      </c>
      <c r="D13" s="354" t="s">
        <v>415</v>
      </c>
      <c r="E13" s="353" t="s">
        <v>416</v>
      </c>
      <c r="F13" s="355">
        <v>840</v>
      </c>
      <c r="G13" s="355">
        <v>576</v>
      </c>
      <c r="H13" s="355">
        <v>804</v>
      </c>
      <c r="I13" s="355">
        <v>780</v>
      </c>
      <c r="J13" s="355">
        <v>839</v>
      </c>
      <c r="K13" s="355">
        <v>706</v>
      </c>
      <c r="L13" s="355">
        <v>912</v>
      </c>
      <c r="M13" s="355">
        <v>780</v>
      </c>
      <c r="N13" s="355">
        <v>732</v>
      </c>
      <c r="O13" s="355">
        <v>756</v>
      </c>
      <c r="P13" s="355">
        <v>851</v>
      </c>
      <c r="Q13" s="355">
        <v>851</v>
      </c>
      <c r="R13" s="355">
        <f t="shared" ref="R13:R22" si="6">SUM(F13:Q13)</f>
        <v>9427</v>
      </c>
      <c r="S13" s="356">
        <v>888</v>
      </c>
      <c r="T13" s="356">
        <v>816</v>
      </c>
      <c r="U13" s="356">
        <v>863</v>
      </c>
      <c r="V13" s="356">
        <v>924</v>
      </c>
      <c r="W13" s="356">
        <v>804</v>
      </c>
      <c r="X13" s="356">
        <v>815</v>
      </c>
      <c r="Y13" s="356">
        <v>924</v>
      </c>
      <c r="Z13" s="356">
        <v>780</v>
      </c>
      <c r="AA13" s="356">
        <v>935</v>
      </c>
      <c r="AB13" s="356">
        <v>768</v>
      </c>
      <c r="AC13" s="356">
        <v>660</v>
      </c>
      <c r="AD13" s="356">
        <v>780</v>
      </c>
      <c r="AE13" s="357">
        <f t="shared" ref="AE13:AE22" si="7">SUM(S13:AD13)</f>
        <v>9957</v>
      </c>
      <c r="AF13" s="427">
        <v>816</v>
      </c>
      <c r="AG13" s="427">
        <v>684</v>
      </c>
      <c r="AH13" s="427">
        <v>804</v>
      </c>
      <c r="AI13" s="427">
        <v>792</v>
      </c>
      <c r="AJ13" s="427">
        <v>708</v>
      </c>
      <c r="AK13" s="427"/>
      <c r="AL13" s="427"/>
      <c r="AM13" s="427"/>
      <c r="AN13" s="427"/>
      <c r="AO13" s="427"/>
      <c r="AP13" s="427"/>
      <c r="AQ13" s="427"/>
      <c r="AR13" s="357">
        <f t="shared" ref="AR13:AR22" si="8">SUM(AF13:AQ13)</f>
        <v>3804</v>
      </c>
    </row>
    <row r="14" spans="1:44" ht="14.25" customHeight="1">
      <c r="A14" s="351">
        <v>2</v>
      </c>
      <c r="B14" s="457" t="s">
        <v>434</v>
      </c>
      <c r="C14" s="353" t="s">
        <v>417</v>
      </c>
      <c r="D14" s="354" t="s">
        <v>415</v>
      </c>
      <c r="E14" s="353" t="s">
        <v>418</v>
      </c>
      <c r="F14" s="355">
        <v>732</v>
      </c>
      <c r="G14" s="355">
        <v>696</v>
      </c>
      <c r="H14" s="355">
        <v>852</v>
      </c>
      <c r="I14" s="355">
        <v>672</v>
      </c>
      <c r="J14" s="355">
        <v>791</v>
      </c>
      <c r="K14" s="355">
        <v>635</v>
      </c>
      <c r="L14" s="355">
        <v>827</v>
      </c>
      <c r="M14" s="355">
        <v>756</v>
      </c>
      <c r="N14" s="355">
        <v>756</v>
      </c>
      <c r="O14" s="355">
        <v>672</v>
      </c>
      <c r="P14" s="355">
        <v>828</v>
      </c>
      <c r="Q14" s="355">
        <v>792</v>
      </c>
      <c r="R14" s="355">
        <f t="shared" si="6"/>
        <v>9009</v>
      </c>
      <c r="S14" s="356">
        <v>684</v>
      </c>
      <c r="T14" s="356">
        <v>600</v>
      </c>
      <c r="U14" s="356">
        <v>672</v>
      </c>
      <c r="V14" s="356">
        <v>600</v>
      </c>
      <c r="W14" s="356">
        <v>636</v>
      </c>
      <c r="X14" s="356">
        <v>600</v>
      </c>
      <c r="Y14" s="356">
        <v>660</v>
      </c>
      <c r="Z14" s="356">
        <v>672</v>
      </c>
      <c r="AA14" s="356">
        <v>708</v>
      </c>
      <c r="AB14" s="356">
        <v>636</v>
      </c>
      <c r="AC14" s="356">
        <v>684</v>
      </c>
      <c r="AD14" s="356">
        <v>708</v>
      </c>
      <c r="AE14" s="357">
        <f t="shared" si="7"/>
        <v>7860</v>
      </c>
      <c r="AF14" s="427">
        <v>816</v>
      </c>
      <c r="AG14" s="427">
        <v>660</v>
      </c>
      <c r="AH14" s="427">
        <v>672</v>
      </c>
      <c r="AI14" s="427">
        <v>648</v>
      </c>
      <c r="AJ14" s="427">
        <v>696</v>
      </c>
      <c r="AK14" s="427"/>
      <c r="AL14" s="427"/>
      <c r="AM14" s="427"/>
      <c r="AN14" s="427"/>
      <c r="AO14" s="427"/>
      <c r="AP14" s="427"/>
      <c r="AQ14" s="427"/>
      <c r="AR14" s="357">
        <f t="shared" si="8"/>
        <v>3492</v>
      </c>
    </row>
    <row r="15" spans="1:44" ht="14.25" customHeight="1">
      <c r="A15" s="351">
        <v>3</v>
      </c>
      <c r="B15" s="457" t="s">
        <v>434</v>
      </c>
      <c r="C15" s="353" t="s">
        <v>419</v>
      </c>
      <c r="D15" s="354" t="s">
        <v>420</v>
      </c>
      <c r="E15" s="353" t="s">
        <v>416</v>
      </c>
      <c r="F15" s="355">
        <v>120</v>
      </c>
      <c r="G15" s="355">
        <v>135</v>
      </c>
      <c r="H15" s="355">
        <v>120</v>
      </c>
      <c r="I15" s="355">
        <v>150</v>
      </c>
      <c r="J15" s="355">
        <v>195</v>
      </c>
      <c r="K15" s="355">
        <v>120</v>
      </c>
      <c r="L15" s="355">
        <v>150</v>
      </c>
      <c r="M15" s="355">
        <v>75</v>
      </c>
      <c r="N15" s="355">
        <v>120</v>
      </c>
      <c r="O15" s="355">
        <v>120</v>
      </c>
      <c r="P15" s="355">
        <v>135</v>
      </c>
      <c r="Q15" s="355">
        <v>120</v>
      </c>
      <c r="R15" s="355">
        <f t="shared" si="6"/>
        <v>1560</v>
      </c>
      <c r="S15" s="356">
        <v>30</v>
      </c>
      <c r="T15" s="356"/>
      <c r="U15" s="356"/>
      <c r="V15" s="356"/>
      <c r="W15" s="356"/>
      <c r="X15" s="356"/>
      <c r="Y15" s="356"/>
      <c r="Z15" s="356">
        <v>0</v>
      </c>
      <c r="AA15" s="356">
        <v>0</v>
      </c>
      <c r="AB15" s="356">
        <v>0</v>
      </c>
      <c r="AC15" s="356">
        <v>0</v>
      </c>
      <c r="AD15" s="356">
        <v>0</v>
      </c>
      <c r="AE15" s="357">
        <f t="shared" si="7"/>
        <v>30</v>
      </c>
      <c r="AF15" s="428">
        <v>0</v>
      </c>
      <c r="AG15" s="428">
        <v>0</v>
      </c>
      <c r="AH15" s="427">
        <v>0</v>
      </c>
      <c r="AI15" s="427">
        <v>0</v>
      </c>
      <c r="AJ15" s="427">
        <v>0</v>
      </c>
      <c r="AK15" s="427"/>
      <c r="AL15" s="427"/>
      <c r="AM15" s="427"/>
      <c r="AN15" s="427"/>
      <c r="AO15" s="427"/>
      <c r="AP15" s="427"/>
      <c r="AQ15" s="427"/>
      <c r="AR15" s="357">
        <f t="shared" si="8"/>
        <v>0</v>
      </c>
    </row>
    <row r="16" spans="1:44" ht="14.25" customHeight="1">
      <c r="A16" s="351">
        <v>4</v>
      </c>
      <c r="B16" s="457" t="s">
        <v>434</v>
      </c>
      <c r="C16" s="353" t="s">
        <v>421</v>
      </c>
      <c r="D16" s="354" t="s">
        <v>420</v>
      </c>
      <c r="E16" s="353" t="s">
        <v>418</v>
      </c>
      <c r="F16" s="355">
        <v>630</v>
      </c>
      <c r="G16" s="355">
        <v>420</v>
      </c>
      <c r="H16" s="355">
        <v>540</v>
      </c>
      <c r="I16" s="355">
        <v>600</v>
      </c>
      <c r="J16" s="355">
        <v>658</v>
      </c>
      <c r="K16" s="355">
        <v>585</v>
      </c>
      <c r="L16" s="355">
        <v>615</v>
      </c>
      <c r="M16" s="355">
        <v>405</v>
      </c>
      <c r="N16" s="355">
        <v>330</v>
      </c>
      <c r="O16" s="355">
        <v>405</v>
      </c>
      <c r="P16" s="355">
        <v>495</v>
      </c>
      <c r="Q16" s="355">
        <v>570</v>
      </c>
      <c r="R16" s="355">
        <f t="shared" si="6"/>
        <v>6253</v>
      </c>
      <c r="S16" s="356">
        <v>495</v>
      </c>
      <c r="T16" s="356">
        <v>420</v>
      </c>
      <c r="U16" s="356">
        <v>630</v>
      </c>
      <c r="V16" s="356">
        <v>690</v>
      </c>
      <c r="W16" s="356">
        <v>540</v>
      </c>
      <c r="X16" s="356">
        <v>540</v>
      </c>
      <c r="Y16" s="356">
        <v>600</v>
      </c>
      <c r="Z16" s="356">
        <v>600</v>
      </c>
      <c r="AA16" s="356">
        <v>480</v>
      </c>
      <c r="AB16" s="356">
        <v>480</v>
      </c>
      <c r="AC16" s="356">
        <v>510</v>
      </c>
      <c r="AD16" s="356">
        <v>570</v>
      </c>
      <c r="AE16" s="357">
        <f t="shared" si="7"/>
        <v>6555</v>
      </c>
      <c r="AF16" s="427">
        <v>630</v>
      </c>
      <c r="AG16" s="427">
        <v>419</v>
      </c>
      <c r="AH16" s="427">
        <v>570</v>
      </c>
      <c r="AI16" s="427">
        <v>540</v>
      </c>
      <c r="AJ16" s="427">
        <v>450</v>
      </c>
      <c r="AK16" s="427"/>
      <c r="AL16" s="427"/>
      <c r="AM16" s="427"/>
      <c r="AN16" s="427"/>
      <c r="AO16" s="427"/>
      <c r="AP16" s="427"/>
      <c r="AQ16" s="427"/>
      <c r="AR16" s="357">
        <f t="shared" si="8"/>
        <v>2609</v>
      </c>
    </row>
    <row r="17" spans="1:44" ht="14.25" customHeight="1">
      <c r="A17" s="351">
        <v>5</v>
      </c>
      <c r="B17" s="457" t="s">
        <v>434</v>
      </c>
      <c r="C17" s="353" t="s">
        <v>422</v>
      </c>
      <c r="D17" s="354" t="s">
        <v>423</v>
      </c>
      <c r="E17" s="353" t="s">
        <v>416</v>
      </c>
      <c r="F17" s="355">
        <v>425</v>
      </c>
      <c r="G17" s="355">
        <v>650</v>
      </c>
      <c r="H17" s="355">
        <v>750</v>
      </c>
      <c r="I17" s="355">
        <v>675</v>
      </c>
      <c r="J17" s="355">
        <v>850</v>
      </c>
      <c r="K17" s="355">
        <v>575</v>
      </c>
      <c r="L17" s="355">
        <v>625</v>
      </c>
      <c r="M17" s="355">
        <v>525</v>
      </c>
      <c r="N17" s="355">
        <v>400</v>
      </c>
      <c r="O17" s="355">
        <v>350</v>
      </c>
      <c r="P17" s="355">
        <v>225</v>
      </c>
      <c r="Q17" s="355">
        <v>275</v>
      </c>
      <c r="R17" s="355">
        <f t="shared" si="6"/>
        <v>6325</v>
      </c>
      <c r="S17" s="356">
        <v>350</v>
      </c>
      <c r="T17" s="356">
        <v>375</v>
      </c>
      <c r="U17" s="356">
        <v>200</v>
      </c>
      <c r="V17" s="356">
        <v>350</v>
      </c>
      <c r="W17" s="356">
        <v>350</v>
      </c>
      <c r="X17" s="356">
        <v>250</v>
      </c>
      <c r="Y17" s="356">
        <v>275</v>
      </c>
      <c r="Z17" s="356">
        <v>300</v>
      </c>
      <c r="AA17" s="356">
        <v>275</v>
      </c>
      <c r="AB17" s="356">
        <v>300</v>
      </c>
      <c r="AC17" s="356">
        <v>275</v>
      </c>
      <c r="AD17" s="356">
        <v>300</v>
      </c>
      <c r="AE17" s="357">
        <f t="shared" si="7"/>
        <v>3600</v>
      </c>
      <c r="AF17" s="427">
        <v>225</v>
      </c>
      <c r="AG17" s="427">
        <v>300</v>
      </c>
      <c r="AH17" s="427">
        <v>375</v>
      </c>
      <c r="AI17" s="427">
        <v>475</v>
      </c>
      <c r="AJ17" s="427">
        <v>150</v>
      </c>
      <c r="AK17" s="427"/>
      <c r="AL17" s="427"/>
      <c r="AM17" s="427"/>
      <c r="AN17" s="427"/>
      <c r="AO17" s="427"/>
      <c r="AP17" s="427"/>
      <c r="AQ17" s="427"/>
      <c r="AR17" s="357">
        <f t="shared" si="8"/>
        <v>1525</v>
      </c>
    </row>
    <row r="18" spans="1:44" ht="14.25" customHeight="1">
      <c r="A18" s="351">
        <v>6</v>
      </c>
      <c r="B18" s="457" t="s">
        <v>434</v>
      </c>
      <c r="C18" s="353" t="s">
        <v>424</v>
      </c>
      <c r="D18" s="354" t="s">
        <v>423</v>
      </c>
      <c r="E18" s="353" t="s">
        <v>426</v>
      </c>
      <c r="F18" s="355">
        <v>400</v>
      </c>
      <c r="G18" s="355">
        <v>25</v>
      </c>
      <c r="H18" s="355">
        <v>50</v>
      </c>
      <c r="I18" s="359"/>
      <c r="J18" s="355">
        <v>25</v>
      </c>
      <c r="K18" s="355">
        <v>50</v>
      </c>
      <c r="L18" s="355">
        <v>25</v>
      </c>
      <c r="M18" s="355">
        <v>50</v>
      </c>
      <c r="N18" s="355">
        <v>50</v>
      </c>
      <c r="O18" s="355">
        <v>75</v>
      </c>
      <c r="P18" s="359"/>
      <c r="Q18" s="359">
        <v>25</v>
      </c>
      <c r="R18" s="355">
        <f t="shared" si="6"/>
        <v>775</v>
      </c>
      <c r="S18" s="361">
        <v>50</v>
      </c>
      <c r="T18" s="361">
        <v>50</v>
      </c>
      <c r="U18" s="361">
        <v>25</v>
      </c>
      <c r="V18" s="361">
        <v>50</v>
      </c>
      <c r="W18" s="361">
        <v>25</v>
      </c>
      <c r="X18" s="361">
        <v>25</v>
      </c>
      <c r="Y18" s="361">
        <v>50</v>
      </c>
      <c r="Z18" s="362">
        <v>0</v>
      </c>
      <c r="AA18" s="362">
        <v>0</v>
      </c>
      <c r="AB18" s="362">
        <v>0</v>
      </c>
      <c r="AC18" s="362">
        <v>0</v>
      </c>
      <c r="AD18" s="362">
        <v>0</v>
      </c>
      <c r="AE18" s="357">
        <f t="shared" si="7"/>
        <v>275</v>
      </c>
      <c r="AF18" s="428">
        <v>0</v>
      </c>
      <c r="AG18" s="428">
        <v>0</v>
      </c>
      <c r="AH18" s="428">
        <v>0</v>
      </c>
      <c r="AI18" s="428">
        <v>0</v>
      </c>
      <c r="AJ18" s="428">
        <v>0</v>
      </c>
      <c r="AK18" s="428"/>
      <c r="AL18" s="428"/>
      <c r="AM18" s="428"/>
      <c r="AN18" s="428"/>
      <c r="AO18" s="428"/>
      <c r="AP18" s="428"/>
      <c r="AQ18" s="428"/>
      <c r="AR18" s="357">
        <f t="shared" si="8"/>
        <v>0</v>
      </c>
    </row>
    <row r="19" spans="1:44" ht="14.25" customHeight="1">
      <c r="A19" s="351">
        <v>7</v>
      </c>
      <c r="B19" s="457" t="s">
        <v>434</v>
      </c>
      <c r="C19" s="353" t="s">
        <v>427</v>
      </c>
      <c r="D19" s="354" t="s">
        <v>435</v>
      </c>
      <c r="E19" s="353" t="s">
        <v>429</v>
      </c>
      <c r="F19" s="359"/>
      <c r="G19" s="359"/>
      <c r="H19" s="359"/>
      <c r="I19" s="359"/>
      <c r="J19" s="359"/>
      <c r="K19" s="359"/>
      <c r="L19" s="359"/>
      <c r="M19" s="355">
        <v>669</v>
      </c>
      <c r="N19" s="355">
        <v>660</v>
      </c>
      <c r="O19" s="355">
        <v>600</v>
      </c>
      <c r="P19" s="355">
        <v>480</v>
      </c>
      <c r="Q19" s="355">
        <v>540</v>
      </c>
      <c r="R19" s="355">
        <f t="shared" si="6"/>
        <v>2949</v>
      </c>
      <c r="S19" s="356">
        <v>540</v>
      </c>
      <c r="T19" s="356">
        <v>780</v>
      </c>
      <c r="U19" s="356">
        <v>420</v>
      </c>
      <c r="V19" s="356">
        <v>900</v>
      </c>
      <c r="W19" s="356">
        <v>780</v>
      </c>
      <c r="X19" s="356">
        <v>720</v>
      </c>
      <c r="Y19" s="356">
        <v>720</v>
      </c>
      <c r="Z19" s="356">
        <v>780</v>
      </c>
      <c r="AA19" s="356">
        <v>960</v>
      </c>
      <c r="AB19" s="356">
        <v>660</v>
      </c>
      <c r="AC19" s="356">
        <v>660</v>
      </c>
      <c r="AD19" s="356">
        <v>480</v>
      </c>
      <c r="AE19" s="357">
        <f t="shared" si="7"/>
        <v>8400</v>
      </c>
      <c r="AF19" s="427">
        <v>720</v>
      </c>
      <c r="AG19" s="427">
        <v>480</v>
      </c>
      <c r="AH19" s="427">
        <v>360</v>
      </c>
      <c r="AI19" s="427">
        <v>480</v>
      </c>
      <c r="AJ19" s="427">
        <v>480</v>
      </c>
      <c r="AK19" s="427"/>
      <c r="AL19" s="427"/>
      <c r="AM19" s="427"/>
      <c r="AN19" s="427"/>
      <c r="AO19" s="427"/>
      <c r="AP19" s="427"/>
      <c r="AQ19" s="427"/>
      <c r="AR19" s="357">
        <f t="shared" si="8"/>
        <v>2520</v>
      </c>
    </row>
    <row r="20" spans="1:44" ht="14.25" customHeight="1">
      <c r="A20" s="351">
        <v>8</v>
      </c>
      <c r="B20" s="457" t="s">
        <v>434</v>
      </c>
      <c r="C20" s="353">
        <v>44037</v>
      </c>
      <c r="D20" s="354" t="s">
        <v>430</v>
      </c>
      <c r="E20" s="353" t="s">
        <v>431</v>
      </c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  <c r="R20" s="355">
        <f t="shared" si="6"/>
        <v>0</v>
      </c>
      <c r="S20" s="356"/>
      <c r="T20" s="356"/>
      <c r="U20" s="356"/>
      <c r="V20" s="356"/>
      <c r="W20" s="356"/>
      <c r="X20" s="356"/>
      <c r="Y20" s="356"/>
      <c r="Z20" s="356">
        <v>0</v>
      </c>
      <c r="AA20" s="356">
        <v>0</v>
      </c>
      <c r="AB20" s="356">
        <v>0</v>
      </c>
      <c r="AC20" s="356">
        <v>0</v>
      </c>
      <c r="AD20" s="356">
        <v>0</v>
      </c>
      <c r="AE20" s="357">
        <f t="shared" si="7"/>
        <v>0</v>
      </c>
      <c r="AF20" s="428">
        <v>0</v>
      </c>
      <c r="AG20" s="428">
        <v>0</v>
      </c>
      <c r="AH20" s="427">
        <v>0</v>
      </c>
      <c r="AI20" s="427">
        <v>0</v>
      </c>
      <c r="AJ20" s="427">
        <v>0</v>
      </c>
      <c r="AK20" s="427"/>
      <c r="AL20" s="427"/>
      <c r="AM20" s="427"/>
      <c r="AN20" s="427"/>
      <c r="AO20" s="427"/>
      <c r="AP20" s="427"/>
      <c r="AQ20" s="427"/>
      <c r="AR20" s="357">
        <f t="shared" si="8"/>
        <v>0</v>
      </c>
    </row>
    <row r="21" spans="1:44" ht="14.25" customHeight="1">
      <c r="A21" s="351">
        <v>9</v>
      </c>
      <c r="B21" s="457" t="s">
        <v>434</v>
      </c>
      <c r="C21" s="353">
        <v>44038</v>
      </c>
      <c r="D21" s="354" t="s">
        <v>432</v>
      </c>
      <c r="E21" s="353" t="s">
        <v>433</v>
      </c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>
        <f t="shared" si="6"/>
        <v>0</v>
      </c>
      <c r="S21" s="356"/>
      <c r="T21" s="356"/>
      <c r="U21" s="356"/>
      <c r="V21" s="356">
        <v>120</v>
      </c>
      <c r="W21" s="356">
        <v>80</v>
      </c>
      <c r="X21" s="356">
        <v>120</v>
      </c>
      <c r="Y21" s="356">
        <v>40</v>
      </c>
      <c r="Z21" s="356">
        <v>40</v>
      </c>
      <c r="AA21" s="356">
        <v>0</v>
      </c>
      <c r="AB21" s="356">
        <v>0</v>
      </c>
      <c r="AC21" s="356">
        <v>0</v>
      </c>
      <c r="AD21" s="356">
        <v>0</v>
      </c>
      <c r="AE21" s="357">
        <f t="shared" si="7"/>
        <v>400</v>
      </c>
      <c r="AF21" s="428">
        <v>0</v>
      </c>
      <c r="AG21" s="428">
        <v>0</v>
      </c>
      <c r="AH21" s="427">
        <v>0</v>
      </c>
      <c r="AI21" s="427">
        <v>0</v>
      </c>
      <c r="AJ21" s="427">
        <v>0</v>
      </c>
      <c r="AK21" s="427"/>
      <c r="AL21" s="427"/>
      <c r="AM21" s="427"/>
      <c r="AN21" s="427"/>
      <c r="AO21" s="427"/>
      <c r="AP21" s="427"/>
      <c r="AQ21" s="427"/>
      <c r="AR21" s="357">
        <f t="shared" si="8"/>
        <v>0</v>
      </c>
    </row>
    <row r="22" spans="1:44" ht="14.25" customHeight="1">
      <c r="A22" s="360"/>
      <c r="B22" s="457"/>
      <c r="C22" s="457"/>
      <c r="D22" s="458"/>
      <c r="E22" s="457"/>
      <c r="F22" s="459">
        <f t="shared" ref="F22:Q22" si="9">SUM(F18:F18)</f>
        <v>400</v>
      </c>
      <c r="G22" s="459">
        <f t="shared" si="9"/>
        <v>25</v>
      </c>
      <c r="H22" s="459">
        <f t="shared" si="9"/>
        <v>50</v>
      </c>
      <c r="I22" s="459">
        <f t="shared" si="9"/>
        <v>0</v>
      </c>
      <c r="J22" s="459">
        <f t="shared" si="9"/>
        <v>25</v>
      </c>
      <c r="K22" s="459">
        <f t="shared" si="9"/>
        <v>50</v>
      </c>
      <c r="L22" s="459">
        <f t="shared" si="9"/>
        <v>25</v>
      </c>
      <c r="M22" s="459">
        <f t="shared" si="9"/>
        <v>50</v>
      </c>
      <c r="N22" s="459">
        <f t="shared" si="9"/>
        <v>50</v>
      </c>
      <c r="O22" s="459">
        <f t="shared" si="9"/>
        <v>75</v>
      </c>
      <c r="P22" s="459">
        <f t="shared" si="9"/>
        <v>0</v>
      </c>
      <c r="Q22" s="459">
        <f t="shared" si="9"/>
        <v>25</v>
      </c>
      <c r="R22" s="459">
        <f t="shared" si="6"/>
        <v>775</v>
      </c>
      <c r="S22" s="460">
        <f>SUM(S13:S21)</f>
        <v>3037</v>
      </c>
      <c r="T22" s="460">
        <f t="shared" ref="T22:Y22" si="10">SUM(T13:T21)</f>
        <v>3041</v>
      </c>
      <c r="U22" s="460">
        <f t="shared" si="10"/>
        <v>2810</v>
      </c>
      <c r="V22" s="460">
        <f t="shared" si="10"/>
        <v>3634</v>
      </c>
      <c r="W22" s="460">
        <f t="shared" si="10"/>
        <v>3215</v>
      </c>
      <c r="X22" s="460">
        <f t="shared" si="10"/>
        <v>3070</v>
      </c>
      <c r="Y22" s="460">
        <f t="shared" si="10"/>
        <v>3269</v>
      </c>
      <c r="Z22" s="460">
        <f>SUM(Z13:Z21)</f>
        <v>3172</v>
      </c>
      <c r="AA22" s="460">
        <f>SUM(AA13:AA21)</f>
        <v>3358</v>
      </c>
      <c r="AB22" s="460">
        <f>SUM(AB13:AB21)</f>
        <v>2844</v>
      </c>
      <c r="AC22" s="460">
        <f>SUM(AC13:AC21)</f>
        <v>2789</v>
      </c>
      <c r="AD22" s="460">
        <f>SUM(AD13:AD21)</f>
        <v>2838</v>
      </c>
      <c r="AE22" s="460">
        <f t="shared" si="7"/>
        <v>37077</v>
      </c>
      <c r="AF22" s="460">
        <f>SUM(AF13:AF21)</f>
        <v>3207</v>
      </c>
      <c r="AG22" s="460">
        <f t="shared" ref="AG22:AQ22" si="11">SUM(AG13:AG21)</f>
        <v>2543</v>
      </c>
      <c r="AH22" s="460">
        <f>SUM(AH13:AH21)</f>
        <v>2781</v>
      </c>
      <c r="AI22" s="460">
        <f>SUM(AI13:AI21)</f>
        <v>2935</v>
      </c>
      <c r="AJ22" s="460">
        <f t="shared" si="11"/>
        <v>2484</v>
      </c>
      <c r="AK22" s="460">
        <f t="shared" si="11"/>
        <v>0</v>
      </c>
      <c r="AL22" s="460">
        <f t="shared" si="11"/>
        <v>0</v>
      </c>
      <c r="AM22" s="460">
        <f t="shared" si="11"/>
        <v>0</v>
      </c>
      <c r="AN22" s="460">
        <f t="shared" si="11"/>
        <v>0</v>
      </c>
      <c r="AO22" s="460">
        <f t="shared" si="11"/>
        <v>0</v>
      </c>
      <c r="AP22" s="460">
        <f t="shared" si="11"/>
        <v>0</v>
      </c>
      <c r="AQ22" s="460">
        <f t="shared" si="11"/>
        <v>0</v>
      </c>
      <c r="AR22" s="460">
        <f t="shared" si="8"/>
        <v>13950</v>
      </c>
    </row>
    <row r="23" spans="1:44" ht="14.25" customHeight="1">
      <c r="F23" s="365"/>
      <c r="G23" s="365"/>
      <c r="H23" s="365"/>
      <c r="I23" s="365"/>
      <c r="J23" s="365"/>
      <c r="K23" s="365"/>
      <c r="L23" s="365"/>
      <c r="M23" s="365"/>
      <c r="N23" s="365"/>
      <c r="O23" s="365"/>
      <c r="P23" s="365"/>
      <c r="Q23" s="365"/>
      <c r="R23" s="365"/>
      <c r="S23" s="365"/>
      <c r="T23" s="365"/>
      <c r="U23" s="365"/>
      <c r="V23" s="365"/>
      <c r="W23" s="365"/>
      <c r="X23" s="365"/>
      <c r="Y23" s="365"/>
      <c r="Z23" s="365"/>
      <c r="AA23" s="365"/>
      <c r="AB23" s="365"/>
      <c r="AC23" s="365"/>
      <c r="AD23" s="365"/>
      <c r="AE23" s="365"/>
      <c r="AF23" s="365"/>
      <c r="AR23" s="365"/>
    </row>
    <row r="24" spans="1:44" ht="14.25" customHeight="1">
      <c r="J24" s="366" t="s">
        <v>436</v>
      </c>
      <c r="K24" s="366" t="s">
        <v>437</v>
      </c>
      <c r="L24" s="366" t="s">
        <v>438</v>
      </c>
    </row>
    <row r="25" spans="1:44" ht="14.25" customHeight="1">
      <c r="I25" s="366" t="s">
        <v>439</v>
      </c>
      <c r="J25" s="366">
        <f>AE5+AE6</f>
        <v>7603</v>
      </c>
      <c r="K25" s="366">
        <f>AE3+AE4</f>
        <v>10272</v>
      </c>
      <c r="L25" s="366">
        <f>J25+K25</f>
        <v>17875</v>
      </c>
      <c r="O25" s="366">
        <v>165</v>
      </c>
      <c r="P25" s="366">
        <f>$L$27*O25</f>
        <v>6975705</v>
      </c>
      <c r="AE25" s="367" t="s">
        <v>440</v>
      </c>
      <c r="AR25" s="367"/>
    </row>
    <row r="26" spans="1:44" ht="14.25" customHeight="1">
      <c r="I26" s="366" t="s">
        <v>441</v>
      </c>
      <c r="J26" s="366">
        <f>AE15+AE16</f>
        <v>6585</v>
      </c>
      <c r="K26" s="366">
        <f>AE13+AE14</f>
        <v>17817</v>
      </c>
      <c r="L26" s="366">
        <f>J26+K26</f>
        <v>24402</v>
      </c>
      <c r="N26" s="366">
        <v>146</v>
      </c>
      <c r="O26" s="366">
        <v>177</v>
      </c>
      <c r="P26" s="366">
        <f>(J27*N26)+(K27*O26)</f>
        <v>7043201</v>
      </c>
      <c r="AE26" s="367" t="s">
        <v>442</v>
      </c>
      <c r="AR26" s="367"/>
    </row>
    <row r="27" spans="1:44" ht="14.25" customHeight="1">
      <c r="I27" s="366" t="s">
        <v>438</v>
      </c>
      <c r="J27" s="366">
        <f>J25+J26</f>
        <v>14188</v>
      </c>
      <c r="K27" s="366">
        <f>K25+K26</f>
        <v>28089</v>
      </c>
      <c r="L27" s="366">
        <f>L25+L26</f>
        <v>42277</v>
      </c>
      <c r="O27" s="366">
        <v>26</v>
      </c>
      <c r="P27" s="366">
        <f>$L$27*O27</f>
        <v>1099202</v>
      </c>
      <c r="AE27" s="367" t="s">
        <v>443</v>
      </c>
      <c r="AR27" s="367"/>
    </row>
    <row r="28" spans="1:44" ht="14.25" customHeight="1">
      <c r="O28" s="366">
        <v>13</v>
      </c>
      <c r="P28" s="366">
        <f>$L$27*O28</f>
        <v>549601</v>
      </c>
      <c r="AE28" s="367" t="s">
        <v>444</v>
      </c>
      <c r="AR28" s="367"/>
    </row>
  </sheetData>
  <mergeCells count="5">
    <mergeCell ref="A1:A2"/>
    <mergeCell ref="B1:B2"/>
    <mergeCell ref="C1:C2"/>
    <mergeCell ref="D1:D2"/>
    <mergeCell ref="E1:E2"/>
  </mergeCells>
  <phoneticPr fontId="4" type="noConversion"/>
  <printOptions gridLines="1"/>
  <pageMargins left="0.75" right="0.75" top="1" bottom="0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2F9EF-8AF1-49B1-B0A8-96E1162A4355}">
  <sheetPr>
    <tabColor rgb="FF00B050"/>
  </sheetPr>
  <dimension ref="B2:L15"/>
  <sheetViews>
    <sheetView showGridLines="0" workbookViewId="0">
      <selection activeCell="H35" sqref="H35"/>
    </sheetView>
  </sheetViews>
  <sheetFormatPr baseColWidth="10" defaultColWidth="8.83203125" defaultRowHeight="14"/>
  <cols>
    <col min="1" max="1" width="2.83203125" style="369" customWidth="1"/>
    <col min="2" max="2" width="3.83203125" style="369" customWidth="1"/>
    <col min="3" max="3" width="12.33203125" style="369" customWidth="1"/>
    <col min="4" max="4" width="12.83203125" style="369" customWidth="1"/>
    <col min="5" max="5" width="11.5" style="369" customWidth="1"/>
    <col min="6" max="6" width="14.5" style="369" customWidth="1"/>
    <col min="7" max="7" width="10.6640625" style="369" customWidth="1"/>
    <col min="8" max="8" width="12.5" style="369" customWidth="1"/>
    <col min="9" max="9" width="9.5" style="369" bestFit="1" customWidth="1"/>
    <col min="10" max="11" width="9" style="369"/>
    <col min="12" max="12" width="10.83203125" style="370" bestFit="1" customWidth="1"/>
    <col min="13" max="252" width="9" style="369"/>
    <col min="253" max="253" width="2.83203125" style="369" customWidth="1"/>
    <col min="254" max="254" width="3.83203125" style="369" customWidth="1"/>
    <col min="255" max="255" width="12.33203125" style="369" customWidth="1"/>
    <col min="256" max="256" width="12.83203125" style="369" customWidth="1"/>
    <col min="257" max="260" width="0" style="369" hidden="1" customWidth="1"/>
    <col min="261" max="261" width="11.5" style="369" customWidth="1"/>
    <col min="262" max="262" width="14.5" style="369" customWidth="1"/>
    <col min="263" max="263" width="10.6640625" style="369" customWidth="1"/>
    <col min="264" max="264" width="12.5" style="369" customWidth="1"/>
    <col min="265" max="265" width="9.5" style="369" bestFit="1" customWidth="1"/>
    <col min="266" max="267" width="9" style="369"/>
    <col min="268" max="268" width="10.83203125" style="369" bestFit="1" customWidth="1"/>
    <col min="269" max="508" width="9" style="369"/>
    <col min="509" max="509" width="2.83203125" style="369" customWidth="1"/>
    <col min="510" max="510" width="3.83203125" style="369" customWidth="1"/>
    <col min="511" max="511" width="12.33203125" style="369" customWidth="1"/>
    <col min="512" max="512" width="12.83203125" style="369" customWidth="1"/>
    <col min="513" max="516" width="0" style="369" hidden="1" customWidth="1"/>
    <col min="517" max="517" width="11.5" style="369" customWidth="1"/>
    <col min="518" max="518" width="14.5" style="369" customWidth="1"/>
    <col min="519" max="519" width="10.6640625" style="369" customWidth="1"/>
    <col min="520" max="520" width="12.5" style="369" customWidth="1"/>
    <col min="521" max="521" width="9.5" style="369" bestFit="1" customWidth="1"/>
    <col min="522" max="523" width="9" style="369"/>
    <col min="524" max="524" width="10.83203125" style="369" bestFit="1" customWidth="1"/>
    <col min="525" max="764" width="9" style="369"/>
    <col min="765" max="765" width="2.83203125" style="369" customWidth="1"/>
    <col min="766" max="766" width="3.83203125" style="369" customWidth="1"/>
    <col min="767" max="767" width="12.33203125" style="369" customWidth="1"/>
    <col min="768" max="768" width="12.83203125" style="369" customWidth="1"/>
    <col min="769" max="772" width="0" style="369" hidden="1" customWidth="1"/>
    <col min="773" max="773" width="11.5" style="369" customWidth="1"/>
    <col min="774" max="774" width="14.5" style="369" customWidth="1"/>
    <col min="775" max="775" width="10.6640625" style="369" customWidth="1"/>
    <col min="776" max="776" width="12.5" style="369" customWidth="1"/>
    <col min="777" max="777" width="9.5" style="369" bestFit="1" customWidth="1"/>
    <col min="778" max="779" width="9" style="369"/>
    <col min="780" max="780" width="10.83203125" style="369" bestFit="1" customWidth="1"/>
    <col min="781" max="1020" width="9" style="369"/>
    <col min="1021" max="1021" width="2.83203125" style="369" customWidth="1"/>
    <col min="1022" max="1022" width="3.83203125" style="369" customWidth="1"/>
    <col min="1023" max="1023" width="12.33203125" style="369" customWidth="1"/>
    <col min="1024" max="1024" width="12.83203125" style="369" customWidth="1"/>
    <col min="1025" max="1028" width="0" style="369" hidden="1" customWidth="1"/>
    <col min="1029" max="1029" width="11.5" style="369" customWidth="1"/>
    <col min="1030" max="1030" width="14.5" style="369" customWidth="1"/>
    <col min="1031" max="1031" width="10.6640625" style="369" customWidth="1"/>
    <col min="1032" max="1032" width="12.5" style="369" customWidth="1"/>
    <col min="1033" max="1033" width="9.5" style="369" bestFit="1" customWidth="1"/>
    <col min="1034" max="1035" width="9" style="369"/>
    <col min="1036" max="1036" width="10.83203125" style="369" bestFit="1" customWidth="1"/>
    <col min="1037" max="1276" width="9" style="369"/>
    <col min="1277" max="1277" width="2.83203125" style="369" customWidth="1"/>
    <col min="1278" max="1278" width="3.83203125" style="369" customWidth="1"/>
    <col min="1279" max="1279" width="12.33203125" style="369" customWidth="1"/>
    <col min="1280" max="1280" width="12.83203125" style="369" customWidth="1"/>
    <col min="1281" max="1284" width="0" style="369" hidden="1" customWidth="1"/>
    <col min="1285" max="1285" width="11.5" style="369" customWidth="1"/>
    <col min="1286" max="1286" width="14.5" style="369" customWidth="1"/>
    <col min="1287" max="1287" width="10.6640625" style="369" customWidth="1"/>
    <col min="1288" max="1288" width="12.5" style="369" customWidth="1"/>
    <col min="1289" max="1289" width="9.5" style="369" bestFit="1" customWidth="1"/>
    <col min="1290" max="1291" width="9" style="369"/>
    <col min="1292" max="1292" width="10.83203125" style="369" bestFit="1" customWidth="1"/>
    <col min="1293" max="1532" width="9" style="369"/>
    <col min="1533" max="1533" width="2.83203125" style="369" customWidth="1"/>
    <col min="1534" max="1534" width="3.83203125" style="369" customWidth="1"/>
    <col min="1535" max="1535" width="12.33203125" style="369" customWidth="1"/>
    <col min="1536" max="1536" width="12.83203125" style="369" customWidth="1"/>
    <col min="1537" max="1540" width="0" style="369" hidden="1" customWidth="1"/>
    <col min="1541" max="1541" width="11.5" style="369" customWidth="1"/>
    <col min="1542" max="1542" width="14.5" style="369" customWidth="1"/>
    <col min="1543" max="1543" width="10.6640625" style="369" customWidth="1"/>
    <col min="1544" max="1544" width="12.5" style="369" customWidth="1"/>
    <col min="1545" max="1545" width="9.5" style="369" bestFit="1" customWidth="1"/>
    <col min="1546" max="1547" width="9" style="369"/>
    <col min="1548" max="1548" width="10.83203125" style="369" bestFit="1" customWidth="1"/>
    <col min="1549" max="1788" width="9" style="369"/>
    <col min="1789" max="1789" width="2.83203125" style="369" customWidth="1"/>
    <col min="1790" max="1790" width="3.83203125" style="369" customWidth="1"/>
    <col min="1791" max="1791" width="12.33203125" style="369" customWidth="1"/>
    <col min="1792" max="1792" width="12.83203125" style="369" customWidth="1"/>
    <col min="1793" max="1796" width="0" style="369" hidden="1" customWidth="1"/>
    <col min="1797" max="1797" width="11.5" style="369" customWidth="1"/>
    <col min="1798" max="1798" width="14.5" style="369" customWidth="1"/>
    <col min="1799" max="1799" width="10.6640625" style="369" customWidth="1"/>
    <col min="1800" max="1800" width="12.5" style="369" customWidth="1"/>
    <col min="1801" max="1801" width="9.5" style="369" bestFit="1" customWidth="1"/>
    <col min="1802" max="1803" width="9" style="369"/>
    <col min="1804" max="1804" width="10.83203125" style="369" bestFit="1" customWidth="1"/>
    <col min="1805" max="2044" width="9" style="369"/>
    <col min="2045" max="2045" width="2.83203125" style="369" customWidth="1"/>
    <col min="2046" max="2046" width="3.83203125" style="369" customWidth="1"/>
    <col min="2047" max="2047" width="12.33203125" style="369" customWidth="1"/>
    <col min="2048" max="2048" width="12.83203125" style="369" customWidth="1"/>
    <col min="2049" max="2052" width="0" style="369" hidden="1" customWidth="1"/>
    <col min="2053" max="2053" width="11.5" style="369" customWidth="1"/>
    <col min="2054" max="2054" width="14.5" style="369" customWidth="1"/>
    <col min="2055" max="2055" width="10.6640625" style="369" customWidth="1"/>
    <col min="2056" max="2056" width="12.5" style="369" customWidth="1"/>
    <col min="2057" max="2057" width="9.5" style="369" bestFit="1" customWidth="1"/>
    <col min="2058" max="2059" width="9" style="369"/>
    <col min="2060" max="2060" width="10.83203125" style="369" bestFit="1" customWidth="1"/>
    <col min="2061" max="2300" width="9" style="369"/>
    <col min="2301" max="2301" width="2.83203125" style="369" customWidth="1"/>
    <col min="2302" max="2302" width="3.83203125" style="369" customWidth="1"/>
    <col min="2303" max="2303" width="12.33203125" style="369" customWidth="1"/>
    <col min="2304" max="2304" width="12.83203125" style="369" customWidth="1"/>
    <col min="2305" max="2308" width="0" style="369" hidden="1" customWidth="1"/>
    <col min="2309" max="2309" width="11.5" style="369" customWidth="1"/>
    <col min="2310" max="2310" width="14.5" style="369" customWidth="1"/>
    <col min="2311" max="2311" width="10.6640625" style="369" customWidth="1"/>
    <col min="2312" max="2312" width="12.5" style="369" customWidth="1"/>
    <col min="2313" max="2313" width="9.5" style="369" bestFit="1" customWidth="1"/>
    <col min="2314" max="2315" width="9" style="369"/>
    <col min="2316" max="2316" width="10.83203125" style="369" bestFit="1" customWidth="1"/>
    <col min="2317" max="2556" width="9" style="369"/>
    <col min="2557" max="2557" width="2.83203125" style="369" customWidth="1"/>
    <col min="2558" max="2558" width="3.83203125" style="369" customWidth="1"/>
    <col min="2559" max="2559" width="12.33203125" style="369" customWidth="1"/>
    <col min="2560" max="2560" width="12.83203125" style="369" customWidth="1"/>
    <col min="2561" max="2564" width="0" style="369" hidden="1" customWidth="1"/>
    <col min="2565" max="2565" width="11.5" style="369" customWidth="1"/>
    <col min="2566" max="2566" width="14.5" style="369" customWidth="1"/>
    <col min="2567" max="2567" width="10.6640625" style="369" customWidth="1"/>
    <col min="2568" max="2568" width="12.5" style="369" customWidth="1"/>
    <col min="2569" max="2569" width="9.5" style="369" bestFit="1" customWidth="1"/>
    <col min="2570" max="2571" width="9" style="369"/>
    <col min="2572" max="2572" width="10.83203125" style="369" bestFit="1" customWidth="1"/>
    <col min="2573" max="2812" width="9" style="369"/>
    <col min="2813" max="2813" width="2.83203125" style="369" customWidth="1"/>
    <col min="2814" max="2814" width="3.83203125" style="369" customWidth="1"/>
    <col min="2815" max="2815" width="12.33203125" style="369" customWidth="1"/>
    <col min="2816" max="2816" width="12.83203125" style="369" customWidth="1"/>
    <col min="2817" max="2820" width="0" style="369" hidden="1" customWidth="1"/>
    <col min="2821" max="2821" width="11.5" style="369" customWidth="1"/>
    <col min="2822" max="2822" width="14.5" style="369" customWidth="1"/>
    <col min="2823" max="2823" width="10.6640625" style="369" customWidth="1"/>
    <col min="2824" max="2824" width="12.5" style="369" customWidth="1"/>
    <col min="2825" max="2825" width="9.5" style="369" bestFit="1" customWidth="1"/>
    <col min="2826" max="2827" width="9" style="369"/>
    <col min="2828" max="2828" width="10.83203125" style="369" bestFit="1" customWidth="1"/>
    <col min="2829" max="3068" width="9" style="369"/>
    <col min="3069" max="3069" width="2.83203125" style="369" customWidth="1"/>
    <col min="3070" max="3070" width="3.83203125" style="369" customWidth="1"/>
    <col min="3071" max="3071" width="12.33203125" style="369" customWidth="1"/>
    <col min="3072" max="3072" width="12.83203125" style="369" customWidth="1"/>
    <col min="3073" max="3076" width="0" style="369" hidden="1" customWidth="1"/>
    <col min="3077" max="3077" width="11.5" style="369" customWidth="1"/>
    <col min="3078" max="3078" width="14.5" style="369" customWidth="1"/>
    <col min="3079" max="3079" width="10.6640625" style="369" customWidth="1"/>
    <col min="3080" max="3080" width="12.5" style="369" customWidth="1"/>
    <col min="3081" max="3081" width="9.5" style="369" bestFit="1" customWidth="1"/>
    <col min="3082" max="3083" width="9" style="369"/>
    <col min="3084" max="3084" width="10.83203125" style="369" bestFit="1" customWidth="1"/>
    <col min="3085" max="3324" width="9" style="369"/>
    <col min="3325" max="3325" width="2.83203125" style="369" customWidth="1"/>
    <col min="3326" max="3326" width="3.83203125" style="369" customWidth="1"/>
    <col min="3327" max="3327" width="12.33203125" style="369" customWidth="1"/>
    <col min="3328" max="3328" width="12.83203125" style="369" customWidth="1"/>
    <col min="3329" max="3332" width="0" style="369" hidden="1" customWidth="1"/>
    <col min="3333" max="3333" width="11.5" style="369" customWidth="1"/>
    <col min="3334" max="3334" width="14.5" style="369" customWidth="1"/>
    <col min="3335" max="3335" width="10.6640625" style="369" customWidth="1"/>
    <col min="3336" max="3336" width="12.5" style="369" customWidth="1"/>
    <col min="3337" max="3337" width="9.5" style="369" bestFit="1" customWidth="1"/>
    <col min="3338" max="3339" width="9" style="369"/>
    <col min="3340" max="3340" width="10.83203125" style="369" bestFit="1" customWidth="1"/>
    <col min="3341" max="3580" width="9" style="369"/>
    <col min="3581" max="3581" width="2.83203125" style="369" customWidth="1"/>
    <col min="3582" max="3582" width="3.83203125" style="369" customWidth="1"/>
    <col min="3583" max="3583" width="12.33203125" style="369" customWidth="1"/>
    <col min="3584" max="3584" width="12.83203125" style="369" customWidth="1"/>
    <col min="3585" max="3588" width="0" style="369" hidden="1" customWidth="1"/>
    <col min="3589" max="3589" width="11.5" style="369" customWidth="1"/>
    <col min="3590" max="3590" width="14.5" style="369" customWidth="1"/>
    <col min="3591" max="3591" width="10.6640625" style="369" customWidth="1"/>
    <col min="3592" max="3592" width="12.5" style="369" customWidth="1"/>
    <col min="3593" max="3593" width="9.5" style="369" bestFit="1" customWidth="1"/>
    <col min="3594" max="3595" width="9" style="369"/>
    <col min="3596" max="3596" width="10.83203125" style="369" bestFit="1" customWidth="1"/>
    <col min="3597" max="3836" width="9" style="369"/>
    <col min="3837" max="3837" width="2.83203125" style="369" customWidth="1"/>
    <col min="3838" max="3838" width="3.83203125" style="369" customWidth="1"/>
    <col min="3839" max="3839" width="12.33203125" style="369" customWidth="1"/>
    <col min="3840" max="3840" width="12.83203125" style="369" customWidth="1"/>
    <col min="3841" max="3844" width="0" style="369" hidden="1" customWidth="1"/>
    <col min="3845" max="3845" width="11.5" style="369" customWidth="1"/>
    <col min="3846" max="3846" width="14.5" style="369" customWidth="1"/>
    <col min="3847" max="3847" width="10.6640625" style="369" customWidth="1"/>
    <col min="3848" max="3848" width="12.5" style="369" customWidth="1"/>
    <col min="3849" max="3849" width="9.5" style="369" bestFit="1" customWidth="1"/>
    <col min="3850" max="3851" width="9" style="369"/>
    <col min="3852" max="3852" width="10.83203125" style="369" bestFit="1" customWidth="1"/>
    <col min="3853" max="4092" width="9" style="369"/>
    <col min="4093" max="4093" width="2.83203125" style="369" customWidth="1"/>
    <col min="4094" max="4094" width="3.83203125" style="369" customWidth="1"/>
    <col min="4095" max="4095" width="12.33203125" style="369" customWidth="1"/>
    <col min="4096" max="4096" width="12.83203125" style="369" customWidth="1"/>
    <col min="4097" max="4100" width="0" style="369" hidden="1" customWidth="1"/>
    <col min="4101" max="4101" width="11.5" style="369" customWidth="1"/>
    <col min="4102" max="4102" width="14.5" style="369" customWidth="1"/>
    <col min="4103" max="4103" width="10.6640625" style="369" customWidth="1"/>
    <col min="4104" max="4104" width="12.5" style="369" customWidth="1"/>
    <col min="4105" max="4105" width="9.5" style="369" bestFit="1" customWidth="1"/>
    <col min="4106" max="4107" width="9" style="369"/>
    <col min="4108" max="4108" width="10.83203125" style="369" bestFit="1" customWidth="1"/>
    <col min="4109" max="4348" width="9" style="369"/>
    <col min="4349" max="4349" width="2.83203125" style="369" customWidth="1"/>
    <col min="4350" max="4350" width="3.83203125" style="369" customWidth="1"/>
    <col min="4351" max="4351" width="12.33203125" style="369" customWidth="1"/>
    <col min="4352" max="4352" width="12.83203125" style="369" customWidth="1"/>
    <col min="4353" max="4356" width="0" style="369" hidden="1" customWidth="1"/>
    <col min="4357" max="4357" width="11.5" style="369" customWidth="1"/>
    <col min="4358" max="4358" width="14.5" style="369" customWidth="1"/>
    <col min="4359" max="4359" width="10.6640625" style="369" customWidth="1"/>
    <col min="4360" max="4360" width="12.5" style="369" customWidth="1"/>
    <col min="4361" max="4361" width="9.5" style="369" bestFit="1" customWidth="1"/>
    <col min="4362" max="4363" width="9" style="369"/>
    <col min="4364" max="4364" width="10.83203125" style="369" bestFit="1" customWidth="1"/>
    <col min="4365" max="4604" width="9" style="369"/>
    <col min="4605" max="4605" width="2.83203125" style="369" customWidth="1"/>
    <col min="4606" max="4606" width="3.83203125" style="369" customWidth="1"/>
    <col min="4607" max="4607" width="12.33203125" style="369" customWidth="1"/>
    <col min="4608" max="4608" width="12.83203125" style="369" customWidth="1"/>
    <col min="4609" max="4612" width="0" style="369" hidden="1" customWidth="1"/>
    <col min="4613" max="4613" width="11.5" style="369" customWidth="1"/>
    <col min="4614" max="4614" width="14.5" style="369" customWidth="1"/>
    <col min="4615" max="4615" width="10.6640625" style="369" customWidth="1"/>
    <col min="4616" max="4616" width="12.5" style="369" customWidth="1"/>
    <col min="4617" max="4617" width="9.5" style="369" bestFit="1" customWidth="1"/>
    <col min="4618" max="4619" width="9" style="369"/>
    <col min="4620" max="4620" width="10.83203125" style="369" bestFit="1" customWidth="1"/>
    <col min="4621" max="4860" width="9" style="369"/>
    <col min="4861" max="4861" width="2.83203125" style="369" customWidth="1"/>
    <col min="4862" max="4862" width="3.83203125" style="369" customWidth="1"/>
    <col min="4863" max="4863" width="12.33203125" style="369" customWidth="1"/>
    <col min="4864" max="4864" width="12.83203125" style="369" customWidth="1"/>
    <col min="4865" max="4868" width="0" style="369" hidden="1" customWidth="1"/>
    <col min="4869" max="4869" width="11.5" style="369" customWidth="1"/>
    <col min="4870" max="4870" width="14.5" style="369" customWidth="1"/>
    <col min="4871" max="4871" width="10.6640625" style="369" customWidth="1"/>
    <col min="4872" max="4872" width="12.5" style="369" customWidth="1"/>
    <col min="4873" max="4873" width="9.5" style="369" bestFit="1" customWidth="1"/>
    <col min="4874" max="4875" width="9" style="369"/>
    <col min="4876" max="4876" width="10.83203125" style="369" bestFit="1" customWidth="1"/>
    <col min="4877" max="5116" width="9" style="369"/>
    <col min="5117" max="5117" width="2.83203125" style="369" customWidth="1"/>
    <col min="5118" max="5118" width="3.83203125" style="369" customWidth="1"/>
    <col min="5119" max="5119" width="12.33203125" style="369" customWidth="1"/>
    <col min="5120" max="5120" width="12.83203125" style="369" customWidth="1"/>
    <col min="5121" max="5124" width="0" style="369" hidden="1" customWidth="1"/>
    <col min="5125" max="5125" width="11.5" style="369" customWidth="1"/>
    <col min="5126" max="5126" width="14.5" style="369" customWidth="1"/>
    <col min="5127" max="5127" width="10.6640625" style="369" customWidth="1"/>
    <col min="5128" max="5128" width="12.5" style="369" customWidth="1"/>
    <col min="5129" max="5129" width="9.5" style="369" bestFit="1" customWidth="1"/>
    <col min="5130" max="5131" width="9" style="369"/>
    <col min="5132" max="5132" width="10.83203125" style="369" bestFit="1" customWidth="1"/>
    <col min="5133" max="5372" width="9" style="369"/>
    <col min="5373" max="5373" width="2.83203125" style="369" customWidth="1"/>
    <col min="5374" max="5374" width="3.83203125" style="369" customWidth="1"/>
    <col min="5375" max="5375" width="12.33203125" style="369" customWidth="1"/>
    <col min="5376" max="5376" width="12.83203125" style="369" customWidth="1"/>
    <col min="5377" max="5380" width="0" style="369" hidden="1" customWidth="1"/>
    <col min="5381" max="5381" width="11.5" style="369" customWidth="1"/>
    <col min="5382" max="5382" width="14.5" style="369" customWidth="1"/>
    <col min="5383" max="5383" width="10.6640625" style="369" customWidth="1"/>
    <col min="5384" max="5384" width="12.5" style="369" customWidth="1"/>
    <col min="5385" max="5385" width="9.5" style="369" bestFit="1" customWidth="1"/>
    <col min="5386" max="5387" width="9" style="369"/>
    <col min="5388" max="5388" width="10.83203125" style="369" bestFit="1" customWidth="1"/>
    <col min="5389" max="5628" width="9" style="369"/>
    <col min="5629" max="5629" width="2.83203125" style="369" customWidth="1"/>
    <col min="5630" max="5630" width="3.83203125" style="369" customWidth="1"/>
    <col min="5631" max="5631" width="12.33203125" style="369" customWidth="1"/>
    <col min="5632" max="5632" width="12.83203125" style="369" customWidth="1"/>
    <col min="5633" max="5636" width="0" style="369" hidden="1" customWidth="1"/>
    <col min="5637" max="5637" width="11.5" style="369" customWidth="1"/>
    <col min="5638" max="5638" width="14.5" style="369" customWidth="1"/>
    <col min="5639" max="5639" width="10.6640625" style="369" customWidth="1"/>
    <col min="5640" max="5640" width="12.5" style="369" customWidth="1"/>
    <col min="5641" max="5641" width="9.5" style="369" bestFit="1" customWidth="1"/>
    <col min="5642" max="5643" width="9" style="369"/>
    <col min="5644" max="5644" width="10.83203125" style="369" bestFit="1" customWidth="1"/>
    <col min="5645" max="5884" width="9" style="369"/>
    <col min="5885" max="5885" width="2.83203125" style="369" customWidth="1"/>
    <col min="5886" max="5886" width="3.83203125" style="369" customWidth="1"/>
    <col min="5887" max="5887" width="12.33203125" style="369" customWidth="1"/>
    <col min="5888" max="5888" width="12.83203125" style="369" customWidth="1"/>
    <col min="5889" max="5892" width="0" style="369" hidden="1" customWidth="1"/>
    <col min="5893" max="5893" width="11.5" style="369" customWidth="1"/>
    <col min="5894" max="5894" width="14.5" style="369" customWidth="1"/>
    <col min="5895" max="5895" width="10.6640625" style="369" customWidth="1"/>
    <col min="5896" max="5896" width="12.5" style="369" customWidth="1"/>
    <col min="5897" max="5897" width="9.5" style="369" bestFit="1" customWidth="1"/>
    <col min="5898" max="5899" width="9" style="369"/>
    <col min="5900" max="5900" width="10.83203125" style="369" bestFit="1" customWidth="1"/>
    <col min="5901" max="6140" width="9" style="369"/>
    <col min="6141" max="6141" width="2.83203125" style="369" customWidth="1"/>
    <col min="6142" max="6142" width="3.83203125" style="369" customWidth="1"/>
    <col min="6143" max="6143" width="12.33203125" style="369" customWidth="1"/>
    <col min="6144" max="6144" width="12.83203125" style="369" customWidth="1"/>
    <col min="6145" max="6148" width="0" style="369" hidden="1" customWidth="1"/>
    <col min="6149" max="6149" width="11.5" style="369" customWidth="1"/>
    <col min="6150" max="6150" width="14.5" style="369" customWidth="1"/>
    <col min="6151" max="6151" width="10.6640625" style="369" customWidth="1"/>
    <col min="6152" max="6152" width="12.5" style="369" customWidth="1"/>
    <col min="6153" max="6153" width="9.5" style="369" bestFit="1" customWidth="1"/>
    <col min="6154" max="6155" width="9" style="369"/>
    <col min="6156" max="6156" width="10.83203125" style="369" bestFit="1" customWidth="1"/>
    <col min="6157" max="6396" width="9" style="369"/>
    <col min="6397" max="6397" width="2.83203125" style="369" customWidth="1"/>
    <col min="6398" max="6398" width="3.83203125" style="369" customWidth="1"/>
    <col min="6399" max="6399" width="12.33203125" style="369" customWidth="1"/>
    <col min="6400" max="6400" width="12.83203125" style="369" customWidth="1"/>
    <col min="6401" max="6404" width="0" style="369" hidden="1" customWidth="1"/>
    <col min="6405" max="6405" width="11.5" style="369" customWidth="1"/>
    <col min="6406" max="6406" width="14.5" style="369" customWidth="1"/>
    <col min="6407" max="6407" width="10.6640625" style="369" customWidth="1"/>
    <col min="6408" max="6408" width="12.5" style="369" customWidth="1"/>
    <col min="6409" max="6409" width="9.5" style="369" bestFit="1" customWidth="1"/>
    <col min="6410" max="6411" width="9" style="369"/>
    <col min="6412" max="6412" width="10.83203125" style="369" bestFit="1" customWidth="1"/>
    <col min="6413" max="6652" width="9" style="369"/>
    <col min="6653" max="6653" width="2.83203125" style="369" customWidth="1"/>
    <col min="6654" max="6654" width="3.83203125" style="369" customWidth="1"/>
    <col min="6655" max="6655" width="12.33203125" style="369" customWidth="1"/>
    <col min="6656" max="6656" width="12.83203125" style="369" customWidth="1"/>
    <col min="6657" max="6660" width="0" style="369" hidden="1" customWidth="1"/>
    <col min="6661" max="6661" width="11.5" style="369" customWidth="1"/>
    <col min="6662" max="6662" width="14.5" style="369" customWidth="1"/>
    <col min="6663" max="6663" width="10.6640625" style="369" customWidth="1"/>
    <col min="6664" max="6664" width="12.5" style="369" customWidth="1"/>
    <col min="6665" max="6665" width="9.5" style="369" bestFit="1" customWidth="1"/>
    <col min="6666" max="6667" width="9" style="369"/>
    <col min="6668" max="6668" width="10.83203125" style="369" bestFit="1" customWidth="1"/>
    <col min="6669" max="6908" width="9" style="369"/>
    <col min="6909" max="6909" width="2.83203125" style="369" customWidth="1"/>
    <col min="6910" max="6910" width="3.83203125" style="369" customWidth="1"/>
    <col min="6911" max="6911" width="12.33203125" style="369" customWidth="1"/>
    <col min="6912" max="6912" width="12.83203125" style="369" customWidth="1"/>
    <col min="6913" max="6916" width="0" style="369" hidden="1" customWidth="1"/>
    <col min="6917" max="6917" width="11.5" style="369" customWidth="1"/>
    <col min="6918" max="6918" width="14.5" style="369" customWidth="1"/>
    <col min="6919" max="6919" width="10.6640625" style="369" customWidth="1"/>
    <col min="6920" max="6920" width="12.5" style="369" customWidth="1"/>
    <col min="6921" max="6921" width="9.5" style="369" bestFit="1" customWidth="1"/>
    <col min="6922" max="6923" width="9" style="369"/>
    <col min="6924" max="6924" width="10.83203125" style="369" bestFit="1" customWidth="1"/>
    <col min="6925" max="7164" width="9" style="369"/>
    <col min="7165" max="7165" width="2.83203125" style="369" customWidth="1"/>
    <col min="7166" max="7166" width="3.83203125" style="369" customWidth="1"/>
    <col min="7167" max="7167" width="12.33203125" style="369" customWidth="1"/>
    <col min="7168" max="7168" width="12.83203125" style="369" customWidth="1"/>
    <col min="7169" max="7172" width="0" style="369" hidden="1" customWidth="1"/>
    <col min="7173" max="7173" width="11.5" style="369" customWidth="1"/>
    <col min="7174" max="7174" width="14.5" style="369" customWidth="1"/>
    <col min="7175" max="7175" width="10.6640625" style="369" customWidth="1"/>
    <col min="7176" max="7176" width="12.5" style="369" customWidth="1"/>
    <col min="7177" max="7177" width="9.5" style="369" bestFit="1" customWidth="1"/>
    <col min="7178" max="7179" width="9" style="369"/>
    <col min="7180" max="7180" width="10.83203125" style="369" bestFit="1" customWidth="1"/>
    <col min="7181" max="7420" width="9" style="369"/>
    <col min="7421" max="7421" width="2.83203125" style="369" customWidth="1"/>
    <col min="7422" max="7422" width="3.83203125" style="369" customWidth="1"/>
    <col min="7423" max="7423" width="12.33203125" style="369" customWidth="1"/>
    <col min="7424" max="7424" width="12.83203125" style="369" customWidth="1"/>
    <col min="7425" max="7428" width="0" style="369" hidden="1" customWidth="1"/>
    <col min="7429" max="7429" width="11.5" style="369" customWidth="1"/>
    <col min="7430" max="7430" width="14.5" style="369" customWidth="1"/>
    <col min="7431" max="7431" width="10.6640625" style="369" customWidth="1"/>
    <col min="7432" max="7432" width="12.5" style="369" customWidth="1"/>
    <col min="7433" max="7433" width="9.5" style="369" bestFit="1" customWidth="1"/>
    <col min="7434" max="7435" width="9" style="369"/>
    <col min="7436" max="7436" width="10.83203125" style="369" bestFit="1" customWidth="1"/>
    <col min="7437" max="7676" width="9" style="369"/>
    <col min="7677" max="7677" width="2.83203125" style="369" customWidth="1"/>
    <col min="7678" max="7678" width="3.83203125" style="369" customWidth="1"/>
    <col min="7679" max="7679" width="12.33203125" style="369" customWidth="1"/>
    <col min="7680" max="7680" width="12.83203125" style="369" customWidth="1"/>
    <col min="7681" max="7684" width="0" style="369" hidden="1" customWidth="1"/>
    <col min="7685" max="7685" width="11.5" style="369" customWidth="1"/>
    <col min="7686" max="7686" width="14.5" style="369" customWidth="1"/>
    <col min="7687" max="7687" width="10.6640625" style="369" customWidth="1"/>
    <col min="7688" max="7688" width="12.5" style="369" customWidth="1"/>
    <col min="7689" max="7689" width="9.5" style="369" bestFit="1" customWidth="1"/>
    <col min="7690" max="7691" width="9" style="369"/>
    <col min="7692" max="7692" width="10.83203125" style="369" bestFit="1" customWidth="1"/>
    <col min="7693" max="7932" width="9" style="369"/>
    <col min="7933" max="7933" width="2.83203125" style="369" customWidth="1"/>
    <col min="7934" max="7934" width="3.83203125" style="369" customWidth="1"/>
    <col min="7935" max="7935" width="12.33203125" style="369" customWidth="1"/>
    <col min="7936" max="7936" width="12.83203125" style="369" customWidth="1"/>
    <col min="7937" max="7940" width="0" style="369" hidden="1" customWidth="1"/>
    <col min="7941" max="7941" width="11.5" style="369" customWidth="1"/>
    <col min="7942" max="7942" width="14.5" style="369" customWidth="1"/>
    <col min="7943" max="7943" width="10.6640625" style="369" customWidth="1"/>
    <col min="7944" max="7944" width="12.5" style="369" customWidth="1"/>
    <col min="7945" max="7945" width="9.5" style="369" bestFit="1" customWidth="1"/>
    <col min="7946" max="7947" width="9" style="369"/>
    <col min="7948" max="7948" width="10.83203125" style="369" bestFit="1" customWidth="1"/>
    <col min="7949" max="8188" width="9" style="369"/>
    <col min="8189" max="8189" width="2.83203125" style="369" customWidth="1"/>
    <col min="8190" max="8190" width="3.83203125" style="369" customWidth="1"/>
    <col min="8191" max="8191" width="12.33203125" style="369" customWidth="1"/>
    <col min="8192" max="8192" width="12.83203125" style="369" customWidth="1"/>
    <col min="8193" max="8196" width="0" style="369" hidden="1" customWidth="1"/>
    <col min="8197" max="8197" width="11.5" style="369" customWidth="1"/>
    <col min="8198" max="8198" width="14.5" style="369" customWidth="1"/>
    <col min="8199" max="8199" width="10.6640625" style="369" customWidth="1"/>
    <col min="8200" max="8200" width="12.5" style="369" customWidth="1"/>
    <col min="8201" max="8201" width="9.5" style="369" bestFit="1" customWidth="1"/>
    <col min="8202" max="8203" width="9" style="369"/>
    <col min="8204" max="8204" width="10.83203125" style="369" bestFit="1" customWidth="1"/>
    <col min="8205" max="8444" width="9" style="369"/>
    <col min="8445" max="8445" width="2.83203125" style="369" customWidth="1"/>
    <col min="8446" max="8446" width="3.83203125" style="369" customWidth="1"/>
    <col min="8447" max="8447" width="12.33203125" style="369" customWidth="1"/>
    <col min="8448" max="8448" width="12.83203125" style="369" customWidth="1"/>
    <col min="8449" max="8452" width="0" style="369" hidden="1" customWidth="1"/>
    <col min="8453" max="8453" width="11.5" style="369" customWidth="1"/>
    <col min="8454" max="8454" width="14.5" style="369" customWidth="1"/>
    <col min="8455" max="8455" width="10.6640625" style="369" customWidth="1"/>
    <col min="8456" max="8456" width="12.5" style="369" customWidth="1"/>
    <col min="8457" max="8457" width="9.5" style="369" bestFit="1" customWidth="1"/>
    <col min="8458" max="8459" width="9" style="369"/>
    <col min="8460" max="8460" width="10.83203125" style="369" bestFit="1" customWidth="1"/>
    <col min="8461" max="8700" width="9" style="369"/>
    <col min="8701" max="8701" width="2.83203125" style="369" customWidth="1"/>
    <col min="8702" max="8702" width="3.83203125" style="369" customWidth="1"/>
    <col min="8703" max="8703" width="12.33203125" style="369" customWidth="1"/>
    <col min="8704" max="8704" width="12.83203125" style="369" customWidth="1"/>
    <col min="8705" max="8708" width="0" style="369" hidden="1" customWidth="1"/>
    <col min="8709" max="8709" width="11.5" style="369" customWidth="1"/>
    <col min="8710" max="8710" width="14.5" style="369" customWidth="1"/>
    <col min="8711" max="8711" width="10.6640625" style="369" customWidth="1"/>
    <col min="8712" max="8712" width="12.5" style="369" customWidth="1"/>
    <col min="8713" max="8713" width="9.5" style="369" bestFit="1" customWidth="1"/>
    <col min="8714" max="8715" width="9" style="369"/>
    <col min="8716" max="8716" width="10.83203125" style="369" bestFit="1" customWidth="1"/>
    <col min="8717" max="8956" width="9" style="369"/>
    <col min="8957" max="8957" width="2.83203125" style="369" customWidth="1"/>
    <col min="8958" max="8958" width="3.83203125" style="369" customWidth="1"/>
    <col min="8959" max="8959" width="12.33203125" style="369" customWidth="1"/>
    <col min="8960" max="8960" width="12.83203125" style="369" customWidth="1"/>
    <col min="8961" max="8964" width="0" style="369" hidden="1" customWidth="1"/>
    <col min="8965" max="8965" width="11.5" style="369" customWidth="1"/>
    <col min="8966" max="8966" width="14.5" style="369" customWidth="1"/>
    <col min="8967" max="8967" width="10.6640625" style="369" customWidth="1"/>
    <col min="8968" max="8968" width="12.5" style="369" customWidth="1"/>
    <col min="8969" max="8969" width="9.5" style="369" bestFit="1" customWidth="1"/>
    <col min="8970" max="8971" width="9" style="369"/>
    <col min="8972" max="8972" width="10.83203125" style="369" bestFit="1" customWidth="1"/>
    <col min="8973" max="9212" width="9" style="369"/>
    <col min="9213" max="9213" width="2.83203125" style="369" customWidth="1"/>
    <col min="9214" max="9214" width="3.83203125" style="369" customWidth="1"/>
    <col min="9215" max="9215" width="12.33203125" style="369" customWidth="1"/>
    <col min="9216" max="9216" width="12.83203125" style="369" customWidth="1"/>
    <col min="9217" max="9220" width="0" style="369" hidden="1" customWidth="1"/>
    <col min="9221" max="9221" width="11.5" style="369" customWidth="1"/>
    <col min="9222" max="9222" width="14.5" style="369" customWidth="1"/>
    <col min="9223" max="9223" width="10.6640625" style="369" customWidth="1"/>
    <col min="9224" max="9224" width="12.5" style="369" customWidth="1"/>
    <col min="9225" max="9225" width="9.5" style="369" bestFit="1" customWidth="1"/>
    <col min="9226" max="9227" width="9" style="369"/>
    <col min="9228" max="9228" width="10.83203125" style="369" bestFit="1" customWidth="1"/>
    <col min="9229" max="9468" width="9" style="369"/>
    <col min="9469" max="9469" width="2.83203125" style="369" customWidth="1"/>
    <col min="9470" max="9470" width="3.83203125" style="369" customWidth="1"/>
    <col min="9471" max="9471" width="12.33203125" style="369" customWidth="1"/>
    <col min="9472" max="9472" width="12.83203125" style="369" customWidth="1"/>
    <col min="9473" max="9476" width="0" style="369" hidden="1" customWidth="1"/>
    <col min="9477" max="9477" width="11.5" style="369" customWidth="1"/>
    <col min="9478" max="9478" width="14.5" style="369" customWidth="1"/>
    <col min="9479" max="9479" width="10.6640625" style="369" customWidth="1"/>
    <col min="9480" max="9480" width="12.5" style="369" customWidth="1"/>
    <col min="9481" max="9481" width="9.5" style="369" bestFit="1" customWidth="1"/>
    <col min="9482" max="9483" width="9" style="369"/>
    <col min="9484" max="9484" width="10.83203125" style="369" bestFit="1" customWidth="1"/>
    <col min="9485" max="9724" width="9" style="369"/>
    <col min="9725" max="9725" width="2.83203125" style="369" customWidth="1"/>
    <col min="9726" max="9726" width="3.83203125" style="369" customWidth="1"/>
    <col min="9727" max="9727" width="12.33203125" style="369" customWidth="1"/>
    <col min="9728" max="9728" width="12.83203125" style="369" customWidth="1"/>
    <col min="9729" max="9732" width="0" style="369" hidden="1" customWidth="1"/>
    <col min="9733" max="9733" width="11.5" style="369" customWidth="1"/>
    <col min="9734" max="9734" width="14.5" style="369" customWidth="1"/>
    <col min="9735" max="9735" width="10.6640625" style="369" customWidth="1"/>
    <col min="9736" max="9736" width="12.5" style="369" customWidth="1"/>
    <col min="9737" max="9737" width="9.5" style="369" bestFit="1" customWidth="1"/>
    <col min="9738" max="9739" width="9" style="369"/>
    <col min="9740" max="9740" width="10.83203125" style="369" bestFit="1" customWidth="1"/>
    <col min="9741" max="9980" width="9" style="369"/>
    <col min="9981" max="9981" width="2.83203125" style="369" customWidth="1"/>
    <col min="9982" max="9982" width="3.83203125" style="369" customWidth="1"/>
    <col min="9983" max="9983" width="12.33203125" style="369" customWidth="1"/>
    <col min="9984" max="9984" width="12.83203125" style="369" customWidth="1"/>
    <col min="9985" max="9988" width="0" style="369" hidden="1" customWidth="1"/>
    <col min="9989" max="9989" width="11.5" style="369" customWidth="1"/>
    <col min="9990" max="9990" width="14.5" style="369" customWidth="1"/>
    <col min="9991" max="9991" width="10.6640625" style="369" customWidth="1"/>
    <col min="9992" max="9992" width="12.5" style="369" customWidth="1"/>
    <col min="9993" max="9993" width="9.5" style="369" bestFit="1" customWidth="1"/>
    <col min="9994" max="9995" width="9" style="369"/>
    <col min="9996" max="9996" width="10.83203125" style="369" bestFit="1" customWidth="1"/>
    <col min="9997" max="10236" width="9" style="369"/>
    <col min="10237" max="10237" width="2.83203125" style="369" customWidth="1"/>
    <col min="10238" max="10238" width="3.83203125" style="369" customWidth="1"/>
    <col min="10239" max="10239" width="12.33203125" style="369" customWidth="1"/>
    <col min="10240" max="10240" width="12.83203125" style="369" customWidth="1"/>
    <col min="10241" max="10244" width="0" style="369" hidden="1" customWidth="1"/>
    <col min="10245" max="10245" width="11.5" style="369" customWidth="1"/>
    <col min="10246" max="10246" width="14.5" style="369" customWidth="1"/>
    <col min="10247" max="10247" width="10.6640625" style="369" customWidth="1"/>
    <col min="10248" max="10248" width="12.5" style="369" customWidth="1"/>
    <col min="10249" max="10249" width="9.5" style="369" bestFit="1" customWidth="1"/>
    <col min="10250" max="10251" width="9" style="369"/>
    <col min="10252" max="10252" width="10.83203125" style="369" bestFit="1" customWidth="1"/>
    <col min="10253" max="10492" width="9" style="369"/>
    <col min="10493" max="10493" width="2.83203125" style="369" customWidth="1"/>
    <col min="10494" max="10494" width="3.83203125" style="369" customWidth="1"/>
    <col min="10495" max="10495" width="12.33203125" style="369" customWidth="1"/>
    <col min="10496" max="10496" width="12.83203125" style="369" customWidth="1"/>
    <col min="10497" max="10500" width="0" style="369" hidden="1" customWidth="1"/>
    <col min="10501" max="10501" width="11.5" style="369" customWidth="1"/>
    <col min="10502" max="10502" width="14.5" style="369" customWidth="1"/>
    <col min="10503" max="10503" width="10.6640625" style="369" customWidth="1"/>
    <col min="10504" max="10504" width="12.5" style="369" customWidth="1"/>
    <col min="10505" max="10505" width="9.5" style="369" bestFit="1" customWidth="1"/>
    <col min="10506" max="10507" width="9" style="369"/>
    <col min="10508" max="10508" width="10.83203125" style="369" bestFit="1" customWidth="1"/>
    <col min="10509" max="10748" width="9" style="369"/>
    <col min="10749" max="10749" width="2.83203125" style="369" customWidth="1"/>
    <col min="10750" max="10750" width="3.83203125" style="369" customWidth="1"/>
    <col min="10751" max="10751" width="12.33203125" style="369" customWidth="1"/>
    <col min="10752" max="10752" width="12.83203125" style="369" customWidth="1"/>
    <col min="10753" max="10756" width="0" style="369" hidden="1" customWidth="1"/>
    <col min="10757" max="10757" width="11.5" style="369" customWidth="1"/>
    <col min="10758" max="10758" width="14.5" style="369" customWidth="1"/>
    <col min="10759" max="10759" width="10.6640625" style="369" customWidth="1"/>
    <col min="10760" max="10760" width="12.5" style="369" customWidth="1"/>
    <col min="10761" max="10761" width="9.5" style="369" bestFit="1" customWidth="1"/>
    <col min="10762" max="10763" width="9" style="369"/>
    <col min="10764" max="10764" width="10.83203125" style="369" bestFit="1" customWidth="1"/>
    <col min="10765" max="11004" width="9" style="369"/>
    <col min="11005" max="11005" width="2.83203125" style="369" customWidth="1"/>
    <col min="11006" max="11006" width="3.83203125" style="369" customWidth="1"/>
    <col min="11007" max="11007" width="12.33203125" style="369" customWidth="1"/>
    <col min="11008" max="11008" width="12.83203125" style="369" customWidth="1"/>
    <col min="11009" max="11012" width="0" style="369" hidden="1" customWidth="1"/>
    <col min="11013" max="11013" width="11.5" style="369" customWidth="1"/>
    <col min="11014" max="11014" width="14.5" style="369" customWidth="1"/>
    <col min="11015" max="11015" width="10.6640625" style="369" customWidth="1"/>
    <col min="11016" max="11016" width="12.5" style="369" customWidth="1"/>
    <col min="11017" max="11017" width="9.5" style="369" bestFit="1" customWidth="1"/>
    <col min="11018" max="11019" width="9" style="369"/>
    <col min="11020" max="11020" width="10.83203125" style="369" bestFit="1" customWidth="1"/>
    <col min="11021" max="11260" width="9" style="369"/>
    <col min="11261" max="11261" width="2.83203125" style="369" customWidth="1"/>
    <col min="11262" max="11262" width="3.83203125" style="369" customWidth="1"/>
    <col min="11263" max="11263" width="12.33203125" style="369" customWidth="1"/>
    <col min="11264" max="11264" width="12.83203125" style="369" customWidth="1"/>
    <col min="11265" max="11268" width="0" style="369" hidden="1" customWidth="1"/>
    <col min="11269" max="11269" width="11.5" style="369" customWidth="1"/>
    <col min="11270" max="11270" width="14.5" style="369" customWidth="1"/>
    <col min="11271" max="11271" width="10.6640625" style="369" customWidth="1"/>
    <col min="11272" max="11272" width="12.5" style="369" customWidth="1"/>
    <col min="11273" max="11273" width="9.5" style="369" bestFit="1" customWidth="1"/>
    <col min="11274" max="11275" width="9" style="369"/>
    <col min="11276" max="11276" width="10.83203125" style="369" bestFit="1" customWidth="1"/>
    <col min="11277" max="11516" width="9" style="369"/>
    <col min="11517" max="11517" width="2.83203125" style="369" customWidth="1"/>
    <col min="11518" max="11518" width="3.83203125" style="369" customWidth="1"/>
    <col min="11519" max="11519" width="12.33203125" style="369" customWidth="1"/>
    <col min="11520" max="11520" width="12.83203125" style="369" customWidth="1"/>
    <col min="11521" max="11524" width="0" style="369" hidden="1" customWidth="1"/>
    <col min="11525" max="11525" width="11.5" style="369" customWidth="1"/>
    <col min="11526" max="11526" width="14.5" style="369" customWidth="1"/>
    <col min="11527" max="11527" width="10.6640625" style="369" customWidth="1"/>
    <col min="11528" max="11528" width="12.5" style="369" customWidth="1"/>
    <col min="11529" max="11529" width="9.5" style="369" bestFit="1" customWidth="1"/>
    <col min="11530" max="11531" width="9" style="369"/>
    <col min="11532" max="11532" width="10.83203125" style="369" bestFit="1" customWidth="1"/>
    <col min="11533" max="11772" width="9" style="369"/>
    <col min="11773" max="11773" width="2.83203125" style="369" customWidth="1"/>
    <col min="11774" max="11774" width="3.83203125" style="369" customWidth="1"/>
    <col min="11775" max="11775" width="12.33203125" style="369" customWidth="1"/>
    <col min="11776" max="11776" width="12.83203125" style="369" customWidth="1"/>
    <col min="11777" max="11780" width="0" style="369" hidden="1" customWidth="1"/>
    <col min="11781" max="11781" width="11.5" style="369" customWidth="1"/>
    <col min="11782" max="11782" width="14.5" style="369" customWidth="1"/>
    <col min="11783" max="11783" width="10.6640625" style="369" customWidth="1"/>
    <col min="11784" max="11784" width="12.5" style="369" customWidth="1"/>
    <col min="11785" max="11785" width="9.5" style="369" bestFit="1" customWidth="1"/>
    <col min="11786" max="11787" width="9" style="369"/>
    <col min="11788" max="11788" width="10.83203125" style="369" bestFit="1" customWidth="1"/>
    <col min="11789" max="12028" width="9" style="369"/>
    <col min="12029" max="12029" width="2.83203125" style="369" customWidth="1"/>
    <col min="12030" max="12030" width="3.83203125" style="369" customWidth="1"/>
    <col min="12031" max="12031" width="12.33203125" style="369" customWidth="1"/>
    <col min="12032" max="12032" width="12.83203125" style="369" customWidth="1"/>
    <col min="12033" max="12036" width="0" style="369" hidden="1" customWidth="1"/>
    <col min="12037" max="12037" width="11.5" style="369" customWidth="1"/>
    <col min="12038" max="12038" width="14.5" style="369" customWidth="1"/>
    <col min="12039" max="12039" width="10.6640625" style="369" customWidth="1"/>
    <col min="12040" max="12040" width="12.5" style="369" customWidth="1"/>
    <col min="12041" max="12041" width="9.5" style="369" bestFit="1" customWidth="1"/>
    <col min="12042" max="12043" width="9" style="369"/>
    <col min="12044" max="12044" width="10.83203125" style="369" bestFit="1" customWidth="1"/>
    <col min="12045" max="12284" width="9" style="369"/>
    <col min="12285" max="12285" width="2.83203125" style="369" customWidth="1"/>
    <col min="12286" max="12286" width="3.83203125" style="369" customWidth="1"/>
    <col min="12287" max="12287" width="12.33203125" style="369" customWidth="1"/>
    <col min="12288" max="12288" width="12.83203125" style="369" customWidth="1"/>
    <col min="12289" max="12292" width="0" style="369" hidden="1" customWidth="1"/>
    <col min="12293" max="12293" width="11.5" style="369" customWidth="1"/>
    <col min="12294" max="12294" width="14.5" style="369" customWidth="1"/>
    <col min="12295" max="12295" width="10.6640625" style="369" customWidth="1"/>
    <col min="12296" max="12296" width="12.5" style="369" customWidth="1"/>
    <col min="12297" max="12297" width="9.5" style="369" bestFit="1" customWidth="1"/>
    <col min="12298" max="12299" width="9" style="369"/>
    <col min="12300" max="12300" width="10.83203125" style="369" bestFit="1" customWidth="1"/>
    <col min="12301" max="12540" width="9" style="369"/>
    <col min="12541" max="12541" width="2.83203125" style="369" customWidth="1"/>
    <col min="12542" max="12542" width="3.83203125" style="369" customWidth="1"/>
    <col min="12543" max="12543" width="12.33203125" style="369" customWidth="1"/>
    <col min="12544" max="12544" width="12.83203125" style="369" customWidth="1"/>
    <col min="12545" max="12548" width="0" style="369" hidden="1" customWidth="1"/>
    <col min="12549" max="12549" width="11.5" style="369" customWidth="1"/>
    <col min="12550" max="12550" width="14.5" style="369" customWidth="1"/>
    <col min="12551" max="12551" width="10.6640625" style="369" customWidth="1"/>
    <col min="12552" max="12552" width="12.5" style="369" customWidth="1"/>
    <col min="12553" max="12553" width="9.5" style="369" bestFit="1" customWidth="1"/>
    <col min="12554" max="12555" width="9" style="369"/>
    <col min="12556" max="12556" width="10.83203125" style="369" bestFit="1" customWidth="1"/>
    <col min="12557" max="12796" width="9" style="369"/>
    <col min="12797" max="12797" width="2.83203125" style="369" customWidth="1"/>
    <col min="12798" max="12798" width="3.83203125" style="369" customWidth="1"/>
    <col min="12799" max="12799" width="12.33203125" style="369" customWidth="1"/>
    <col min="12800" max="12800" width="12.83203125" style="369" customWidth="1"/>
    <col min="12801" max="12804" width="0" style="369" hidden="1" customWidth="1"/>
    <col min="12805" max="12805" width="11.5" style="369" customWidth="1"/>
    <col min="12806" max="12806" width="14.5" style="369" customWidth="1"/>
    <col min="12807" max="12807" width="10.6640625" style="369" customWidth="1"/>
    <col min="12808" max="12808" width="12.5" style="369" customWidth="1"/>
    <col min="12809" max="12809" width="9.5" style="369" bestFit="1" customWidth="1"/>
    <col min="12810" max="12811" width="9" style="369"/>
    <col min="12812" max="12812" width="10.83203125" style="369" bestFit="1" customWidth="1"/>
    <col min="12813" max="13052" width="9" style="369"/>
    <col min="13053" max="13053" width="2.83203125" style="369" customWidth="1"/>
    <col min="13054" max="13054" width="3.83203125" style="369" customWidth="1"/>
    <col min="13055" max="13055" width="12.33203125" style="369" customWidth="1"/>
    <col min="13056" max="13056" width="12.83203125" style="369" customWidth="1"/>
    <col min="13057" max="13060" width="0" style="369" hidden="1" customWidth="1"/>
    <col min="13061" max="13061" width="11.5" style="369" customWidth="1"/>
    <col min="13062" max="13062" width="14.5" style="369" customWidth="1"/>
    <col min="13063" max="13063" width="10.6640625" style="369" customWidth="1"/>
    <col min="13064" max="13064" width="12.5" style="369" customWidth="1"/>
    <col min="13065" max="13065" width="9.5" style="369" bestFit="1" customWidth="1"/>
    <col min="13066" max="13067" width="9" style="369"/>
    <col min="13068" max="13068" width="10.83203125" style="369" bestFit="1" customWidth="1"/>
    <col min="13069" max="13308" width="9" style="369"/>
    <col min="13309" max="13309" width="2.83203125" style="369" customWidth="1"/>
    <col min="13310" max="13310" width="3.83203125" style="369" customWidth="1"/>
    <col min="13311" max="13311" width="12.33203125" style="369" customWidth="1"/>
    <col min="13312" max="13312" width="12.83203125" style="369" customWidth="1"/>
    <col min="13313" max="13316" width="0" style="369" hidden="1" customWidth="1"/>
    <col min="13317" max="13317" width="11.5" style="369" customWidth="1"/>
    <col min="13318" max="13318" width="14.5" style="369" customWidth="1"/>
    <col min="13319" max="13319" width="10.6640625" style="369" customWidth="1"/>
    <col min="13320" max="13320" width="12.5" style="369" customWidth="1"/>
    <col min="13321" max="13321" width="9.5" style="369" bestFit="1" customWidth="1"/>
    <col min="13322" max="13323" width="9" style="369"/>
    <col min="13324" max="13324" width="10.83203125" style="369" bestFit="1" customWidth="1"/>
    <col min="13325" max="13564" width="9" style="369"/>
    <col min="13565" max="13565" width="2.83203125" style="369" customWidth="1"/>
    <col min="13566" max="13566" width="3.83203125" style="369" customWidth="1"/>
    <col min="13567" max="13567" width="12.33203125" style="369" customWidth="1"/>
    <col min="13568" max="13568" width="12.83203125" style="369" customWidth="1"/>
    <col min="13569" max="13572" width="0" style="369" hidden="1" customWidth="1"/>
    <col min="13573" max="13573" width="11.5" style="369" customWidth="1"/>
    <col min="13574" max="13574" width="14.5" style="369" customWidth="1"/>
    <col min="13575" max="13575" width="10.6640625" style="369" customWidth="1"/>
    <col min="13576" max="13576" width="12.5" style="369" customWidth="1"/>
    <col min="13577" max="13577" width="9.5" style="369" bestFit="1" customWidth="1"/>
    <col min="13578" max="13579" width="9" style="369"/>
    <col min="13580" max="13580" width="10.83203125" style="369" bestFit="1" customWidth="1"/>
    <col min="13581" max="13820" width="9" style="369"/>
    <col min="13821" max="13821" width="2.83203125" style="369" customWidth="1"/>
    <col min="13822" max="13822" width="3.83203125" style="369" customWidth="1"/>
    <col min="13823" max="13823" width="12.33203125" style="369" customWidth="1"/>
    <col min="13824" max="13824" width="12.83203125" style="369" customWidth="1"/>
    <col min="13825" max="13828" width="0" style="369" hidden="1" customWidth="1"/>
    <col min="13829" max="13829" width="11.5" style="369" customWidth="1"/>
    <col min="13830" max="13830" width="14.5" style="369" customWidth="1"/>
    <col min="13831" max="13831" width="10.6640625" style="369" customWidth="1"/>
    <col min="13832" max="13832" width="12.5" style="369" customWidth="1"/>
    <col min="13833" max="13833" width="9.5" style="369" bestFit="1" customWidth="1"/>
    <col min="13834" max="13835" width="9" style="369"/>
    <col min="13836" max="13836" width="10.83203125" style="369" bestFit="1" customWidth="1"/>
    <col min="13837" max="14076" width="9" style="369"/>
    <col min="14077" max="14077" width="2.83203125" style="369" customWidth="1"/>
    <col min="14078" max="14078" width="3.83203125" style="369" customWidth="1"/>
    <col min="14079" max="14079" width="12.33203125" style="369" customWidth="1"/>
    <col min="14080" max="14080" width="12.83203125" style="369" customWidth="1"/>
    <col min="14081" max="14084" width="0" style="369" hidden="1" customWidth="1"/>
    <col min="14085" max="14085" width="11.5" style="369" customWidth="1"/>
    <col min="14086" max="14086" width="14.5" style="369" customWidth="1"/>
    <col min="14087" max="14087" width="10.6640625" style="369" customWidth="1"/>
    <col min="14088" max="14088" width="12.5" style="369" customWidth="1"/>
    <col min="14089" max="14089" width="9.5" style="369" bestFit="1" customWidth="1"/>
    <col min="14090" max="14091" width="9" style="369"/>
    <col min="14092" max="14092" width="10.83203125" style="369" bestFit="1" customWidth="1"/>
    <col min="14093" max="14332" width="9" style="369"/>
    <col min="14333" max="14333" width="2.83203125" style="369" customWidth="1"/>
    <col min="14334" max="14334" width="3.83203125" style="369" customWidth="1"/>
    <col min="14335" max="14335" width="12.33203125" style="369" customWidth="1"/>
    <col min="14336" max="14336" width="12.83203125" style="369" customWidth="1"/>
    <col min="14337" max="14340" width="0" style="369" hidden="1" customWidth="1"/>
    <col min="14341" max="14341" width="11.5" style="369" customWidth="1"/>
    <col min="14342" max="14342" width="14.5" style="369" customWidth="1"/>
    <col min="14343" max="14343" width="10.6640625" style="369" customWidth="1"/>
    <col min="14344" max="14344" width="12.5" style="369" customWidth="1"/>
    <col min="14345" max="14345" width="9.5" style="369" bestFit="1" customWidth="1"/>
    <col min="14346" max="14347" width="9" style="369"/>
    <col min="14348" max="14348" width="10.83203125" style="369" bestFit="1" customWidth="1"/>
    <col min="14349" max="14588" width="9" style="369"/>
    <col min="14589" max="14589" width="2.83203125" style="369" customWidth="1"/>
    <col min="14590" max="14590" width="3.83203125" style="369" customWidth="1"/>
    <col min="14591" max="14591" width="12.33203125" style="369" customWidth="1"/>
    <col min="14592" max="14592" width="12.83203125" style="369" customWidth="1"/>
    <col min="14593" max="14596" width="0" style="369" hidden="1" customWidth="1"/>
    <col min="14597" max="14597" width="11.5" style="369" customWidth="1"/>
    <col min="14598" max="14598" width="14.5" style="369" customWidth="1"/>
    <col min="14599" max="14599" width="10.6640625" style="369" customWidth="1"/>
    <col min="14600" max="14600" width="12.5" style="369" customWidth="1"/>
    <col min="14601" max="14601" width="9.5" style="369" bestFit="1" customWidth="1"/>
    <col min="14602" max="14603" width="9" style="369"/>
    <col min="14604" max="14604" width="10.83203125" style="369" bestFit="1" customWidth="1"/>
    <col min="14605" max="14844" width="9" style="369"/>
    <col min="14845" max="14845" width="2.83203125" style="369" customWidth="1"/>
    <col min="14846" max="14846" width="3.83203125" style="369" customWidth="1"/>
    <col min="14847" max="14847" width="12.33203125" style="369" customWidth="1"/>
    <col min="14848" max="14848" width="12.83203125" style="369" customWidth="1"/>
    <col min="14849" max="14852" width="0" style="369" hidden="1" customWidth="1"/>
    <col min="14853" max="14853" width="11.5" style="369" customWidth="1"/>
    <col min="14854" max="14854" width="14.5" style="369" customWidth="1"/>
    <col min="14855" max="14855" width="10.6640625" style="369" customWidth="1"/>
    <col min="14856" max="14856" width="12.5" style="369" customWidth="1"/>
    <col min="14857" max="14857" width="9.5" style="369" bestFit="1" customWidth="1"/>
    <col min="14858" max="14859" width="9" style="369"/>
    <col min="14860" max="14860" width="10.83203125" style="369" bestFit="1" customWidth="1"/>
    <col min="14861" max="15100" width="9" style="369"/>
    <col min="15101" max="15101" width="2.83203125" style="369" customWidth="1"/>
    <col min="15102" max="15102" width="3.83203125" style="369" customWidth="1"/>
    <col min="15103" max="15103" width="12.33203125" style="369" customWidth="1"/>
    <col min="15104" max="15104" width="12.83203125" style="369" customWidth="1"/>
    <col min="15105" max="15108" width="0" style="369" hidden="1" customWidth="1"/>
    <col min="15109" max="15109" width="11.5" style="369" customWidth="1"/>
    <col min="15110" max="15110" width="14.5" style="369" customWidth="1"/>
    <col min="15111" max="15111" width="10.6640625" style="369" customWidth="1"/>
    <col min="15112" max="15112" width="12.5" style="369" customWidth="1"/>
    <col min="15113" max="15113" width="9.5" style="369" bestFit="1" customWidth="1"/>
    <col min="15114" max="15115" width="9" style="369"/>
    <col min="15116" max="15116" width="10.83203125" style="369" bestFit="1" customWidth="1"/>
    <col min="15117" max="15356" width="9" style="369"/>
    <col min="15357" max="15357" width="2.83203125" style="369" customWidth="1"/>
    <col min="15358" max="15358" width="3.83203125" style="369" customWidth="1"/>
    <col min="15359" max="15359" width="12.33203125" style="369" customWidth="1"/>
    <col min="15360" max="15360" width="12.83203125" style="369" customWidth="1"/>
    <col min="15361" max="15364" width="0" style="369" hidden="1" customWidth="1"/>
    <col min="15365" max="15365" width="11.5" style="369" customWidth="1"/>
    <col min="15366" max="15366" width="14.5" style="369" customWidth="1"/>
    <col min="15367" max="15367" width="10.6640625" style="369" customWidth="1"/>
    <col min="15368" max="15368" width="12.5" style="369" customWidth="1"/>
    <col min="15369" max="15369" width="9.5" style="369" bestFit="1" customWidth="1"/>
    <col min="15370" max="15371" width="9" style="369"/>
    <col min="15372" max="15372" width="10.83203125" style="369" bestFit="1" customWidth="1"/>
    <col min="15373" max="15612" width="9" style="369"/>
    <col min="15613" max="15613" width="2.83203125" style="369" customWidth="1"/>
    <col min="15614" max="15614" width="3.83203125" style="369" customWidth="1"/>
    <col min="15615" max="15615" width="12.33203125" style="369" customWidth="1"/>
    <col min="15616" max="15616" width="12.83203125" style="369" customWidth="1"/>
    <col min="15617" max="15620" width="0" style="369" hidden="1" customWidth="1"/>
    <col min="15621" max="15621" width="11.5" style="369" customWidth="1"/>
    <col min="15622" max="15622" width="14.5" style="369" customWidth="1"/>
    <col min="15623" max="15623" width="10.6640625" style="369" customWidth="1"/>
    <col min="15624" max="15624" width="12.5" style="369" customWidth="1"/>
    <col min="15625" max="15625" width="9.5" style="369" bestFit="1" customWidth="1"/>
    <col min="15626" max="15627" width="9" style="369"/>
    <col min="15628" max="15628" width="10.83203125" style="369" bestFit="1" customWidth="1"/>
    <col min="15629" max="15868" width="9" style="369"/>
    <col min="15869" max="15869" width="2.83203125" style="369" customWidth="1"/>
    <col min="15870" max="15870" width="3.83203125" style="369" customWidth="1"/>
    <col min="15871" max="15871" width="12.33203125" style="369" customWidth="1"/>
    <col min="15872" max="15872" width="12.83203125" style="369" customWidth="1"/>
    <col min="15873" max="15876" width="0" style="369" hidden="1" customWidth="1"/>
    <col min="15877" max="15877" width="11.5" style="369" customWidth="1"/>
    <col min="15878" max="15878" width="14.5" style="369" customWidth="1"/>
    <col min="15879" max="15879" width="10.6640625" style="369" customWidth="1"/>
    <col min="15880" max="15880" width="12.5" style="369" customWidth="1"/>
    <col min="15881" max="15881" width="9.5" style="369" bestFit="1" customWidth="1"/>
    <col min="15882" max="15883" width="9" style="369"/>
    <col min="15884" max="15884" width="10.83203125" style="369" bestFit="1" customWidth="1"/>
    <col min="15885" max="16124" width="9" style="369"/>
    <col min="16125" max="16125" width="2.83203125" style="369" customWidth="1"/>
    <col min="16126" max="16126" width="3.83203125" style="369" customWidth="1"/>
    <col min="16127" max="16127" width="12.33203125" style="369" customWidth="1"/>
    <col min="16128" max="16128" width="12.83203125" style="369" customWidth="1"/>
    <col min="16129" max="16132" width="0" style="369" hidden="1" customWidth="1"/>
    <col min="16133" max="16133" width="11.5" style="369" customWidth="1"/>
    <col min="16134" max="16134" width="14.5" style="369" customWidth="1"/>
    <col min="16135" max="16135" width="10.6640625" style="369" customWidth="1"/>
    <col min="16136" max="16136" width="12.5" style="369" customWidth="1"/>
    <col min="16137" max="16137" width="9.5" style="369" bestFit="1" customWidth="1"/>
    <col min="16138" max="16139" width="9" style="369"/>
    <col min="16140" max="16140" width="10.83203125" style="369" bestFit="1" customWidth="1"/>
    <col min="16141" max="16384" width="9" style="369"/>
  </cols>
  <sheetData>
    <row r="2" spans="2:12" ht="23">
      <c r="B2" s="368" t="s">
        <v>445</v>
      </c>
    </row>
    <row r="3" spans="2:12" ht="15" thickBot="1">
      <c r="H3" s="371" t="s">
        <v>446</v>
      </c>
    </row>
    <row r="4" spans="2:12" ht="31" thickBot="1">
      <c r="B4" s="372"/>
      <c r="C4" s="372" t="s">
        <v>447</v>
      </c>
      <c r="D4" s="373" t="s">
        <v>448</v>
      </c>
      <c r="E4" s="374" t="s">
        <v>449</v>
      </c>
      <c r="F4" s="372" t="s">
        <v>450</v>
      </c>
      <c r="G4" s="375" t="s">
        <v>451</v>
      </c>
      <c r="H4" s="376" t="s">
        <v>452</v>
      </c>
      <c r="L4" s="377" t="s">
        <v>453</v>
      </c>
    </row>
    <row r="5" spans="2:12" ht="15">
      <c r="B5" s="378">
        <v>1</v>
      </c>
      <c r="C5" s="379" t="s">
        <v>233</v>
      </c>
      <c r="D5" s="380">
        <f>'[2]감가상각 상세(25.12.31)'!G19</f>
        <v>530005273</v>
      </c>
      <c r="E5" s="381">
        <f>'[2]감가상각 상세(25.12.31)'!O19</f>
        <v>110645118</v>
      </c>
      <c r="F5" s="382">
        <f>'[2]감가상각 상세(25.12.31)'!Q19</f>
        <v>398317519</v>
      </c>
      <c r="G5" s="382">
        <f>'[2]감가상각 상세(25.12.31)'!R19</f>
        <v>134687754</v>
      </c>
      <c r="H5" s="383">
        <f>E5/12</f>
        <v>9220426.5</v>
      </c>
      <c r="L5" s="370">
        <v>14816804.166666666</v>
      </c>
    </row>
    <row r="6" spans="2:12" ht="15">
      <c r="B6" s="378">
        <v>2</v>
      </c>
      <c r="C6" s="379" t="s">
        <v>235</v>
      </c>
      <c r="D6" s="380">
        <f>'[2]감가상각 상세(25.12.31)'!G21</f>
        <v>57163731</v>
      </c>
      <c r="E6" s="381">
        <f>'[2]감가상각 상세(25.12.31)'!O21</f>
        <v>9898142</v>
      </c>
      <c r="F6" s="382">
        <f>'[2]감가상각 상세(25.12.31)'!Q21</f>
        <v>45114772</v>
      </c>
      <c r="G6" s="382">
        <f>'[2]감가상각 상세(25.12.31)'!R21</f>
        <v>12048959</v>
      </c>
      <c r="H6" s="383">
        <f>E6/12</f>
        <v>824845.16666666663</v>
      </c>
      <c r="L6" s="370">
        <v>1941686.8333333333</v>
      </c>
    </row>
    <row r="7" spans="2:12" ht="15">
      <c r="B7" s="378">
        <v>3</v>
      </c>
      <c r="C7" s="379" t="s">
        <v>236</v>
      </c>
      <c r="D7" s="380">
        <f>'[2]감가상각 상세(25.12.31)'!G42</f>
        <v>49681000</v>
      </c>
      <c r="E7" s="381">
        <f>'[2]감가상각 상세(25.12.31)'!O42</f>
        <v>11912567</v>
      </c>
      <c r="F7" s="382">
        <f>'[2]감가상각 상세(25.12.31)'!Q42</f>
        <v>36382872</v>
      </c>
      <c r="G7" s="382">
        <f>'[2]감가상각 상세(25.12.31)'!R42</f>
        <v>16940128</v>
      </c>
      <c r="H7" s="383">
        <f>E7/12</f>
        <v>992713.91666666663</v>
      </c>
      <c r="L7" s="370">
        <v>1330296.0833333333</v>
      </c>
    </row>
    <row r="8" spans="2:12" ht="15">
      <c r="B8" s="378">
        <v>4</v>
      </c>
      <c r="C8" s="379" t="s">
        <v>237</v>
      </c>
      <c r="D8" s="380">
        <f>'[2]감가상각 상세(25.12.31)'!G62</f>
        <v>406480000</v>
      </c>
      <c r="E8" s="381">
        <f>'[2]감가상각 상세(25.12.31)'!O62</f>
        <v>75945252</v>
      </c>
      <c r="F8" s="382">
        <f>'[2]감가상각 상세(25.12.31)'!Q62</f>
        <v>316136836</v>
      </c>
      <c r="G8" s="382">
        <f>'[2]감가상각 상세(25.12.31)'!R62</f>
        <v>98998619</v>
      </c>
      <c r="H8" s="383">
        <f>E8/12</f>
        <v>6328771</v>
      </c>
      <c r="L8" s="370">
        <v>11315737.083333334</v>
      </c>
    </row>
    <row r="9" spans="2:12" ht="15">
      <c r="B9" s="378">
        <v>5</v>
      </c>
      <c r="C9" s="379" t="s">
        <v>302</v>
      </c>
      <c r="D9" s="380">
        <f>'[2]감가상각 상세(25.12.31)'!G83</f>
        <v>172351410</v>
      </c>
      <c r="E9" s="381">
        <f>'[2]감가상각 상세(25.12.31)'!O83</f>
        <v>34608389</v>
      </c>
      <c r="F9" s="382">
        <f>'[2]감가상각 상세(25.12.31)'!Q83</f>
        <v>174467089</v>
      </c>
      <c r="G9" s="382">
        <f>'[2]감가상각 상세(25.12.31)'!R83</f>
        <v>33244471</v>
      </c>
      <c r="H9" s="383">
        <f>E9/12</f>
        <v>2884032.4166666665</v>
      </c>
    </row>
    <row r="10" spans="2:12" ht="15">
      <c r="B10" s="1257" t="s">
        <v>454</v>
      </c>
      <c r="C10" s="1258"/>
      <c r="D10" s="384">
        <f>SUM(D5:D9)</f>
        <v>1215681414</v>
      </c>
      <c r="E10" s="385">
        <f>SUM(E5:E9)</f>
        <v>243009468</v>
      </c>
      <c r="F10" s="386">
        <f>SUM(F5:F9)</f>
        <v>970419088</v>
      </c>
      <c r="G10" s="386">
        <f>SUM(G5:G9)</f>
        <v>295919931</v>
      </c>
      <c r="H10" s="387">
        <f>SUM(H5:H9)</f>
        <v>20250789</v>
      </c>
      <c r="I10" s="388">
        <f>H10-(E10/12)</f>
        <v>0</v>
      </c>
    </row>
    <row r="11" spans="2:12" ht="15">
      <c r="B11" s="389">
        <v>6</v>
      </c>
      <c r="C11" s="390" t="s">
        <v>455</v>
      </c>
      <c r="D11" s="391">
        <f>'[3]감가상각 상세'!G77</f>
        <v>19083336</v>
      </c>
      <c r="E11" s="381">
        <f>'[4]감가상각 상세'!O79</f>
        <v>4400000</v>
      </c>
      <c r="F11" s="392">
        <f>'[4]감가상각 상세'!Q79</f>
        <v>4400000</v>
      </c>
      <c r="G11" s="392">
        <f>'[4]감가상각 상세'!R79</f>
        <v>14683336</v>
      </c>
      <c r="H11" s="393">
        <f>E11/12</f>
        <v>366666.66666666669</v>
      </c>
      <c r="I11" s="394"/>
      <c r="L11" s="370">
        <v>120833.08333333333</v>
      </c>
    </row>
    <row r="12" spans="2:12" ht="15">
      <c r="B12" s="378">
        <v>5</v>
      </c>
      <c r="C12" s="379" t="s">
        <v>239</v>
      </c>
      <c r="D12" s="380">
        <f>'[3]감가상각 상세'!G82</f>
        <v>55867</v>
      </c>
      <c r="E12" s="381">
        <f>'[4]감가상각 상세'!O84</f>
        <v>52867</v>
      </c>
      <c r="F12" s="382">
        <f>'[4]감가상각 상세'!Q84</f>
        <v>52867</v>
      </c>
      <c r="G12" s="382">
        <f>'[4]감가상각 상세'!R84</f>
        <v>3000</v>
      </c>
      <c r="H12" s="383">
        <f>E12/12</f>
        <v>4405.583333333333</v>
      </c>
      <c r="I12" s="394"/>
      <c r="L12" s="370">
        <v>37181.75</v>
      </c>
    </row>
    <row r="13" spans="2:12" ht="15">
      <c r="B13" s="378">
        <v>7</v>
      </c>
      <c r="C13" s="379" t="s">
        <v>243</v>
      </c>
      <c r="D13" s="380">
        <f>'[3]감가상각 상세'!G86</f>
        <v>3265154</v>
      </c>
      <c r="E13" s="381">
        <f>'[4]감가상각 상세'!O88</f>
        <v>999999</v>
      </c>
      <c r="F13" s="382">
        <f>'[4]감가상각 상세'!Q88</f>
        <v>999999</v>
      </c>
      <c r="G13" s="382">
        <f>'[4]감가상각 상세'!R88</f>
        <v>2265155</v>
      </c>
      <c r="H13" s="383">
        <f>E13/12</f>
        <v>83333.25</v>
      </c>
      <c r="I13" s="394"/>
      <c r="L13" s="370">
        <v>83333.25</v>
      </c>
    </row>
    <row r="14" spans="2:12" ht="16" thickBot="1">
      <c r="B14" s="1259" t="s">
        <v>454</v>
      </c>
      <c r="C14" s="1260"/>
      <c r="D14" s="384">
        <f>SUM(D11:D13)</f>
        <v>22404357</v>
      </c>
      <c r="E14" s="385">
        <f>SUM(E11:E13)</f>
        <v>5452866</v>
      </c>
      <c r="F14" s="386">
        <f>SUM(F11:F13)</f>
        <v>5452866</v>
      </c>
      <c r="G14" s="386">
        <f>SUM(G11:G13)</f>
        <v>16951491</v>
      </c>
      <c r="H14" s="395">
        <f>SUM(H11:H13)</f>
        <v>454405.5</v>
      </c>
      <c r="I14" s="388">
        <f>H14-(E14/12)</f>
        <v>0</v>
      </c>
    </row>
    <row r="15" spans="2:12" ht="16" thickBot="1">
      <c r="B15" s="1261" t="s">
        <v>454</v>
      </c>
      <c r="C15" s="1262"/>
      <c r="D15" s="396">
        <f t="shared" ref="D15:G15" si="0">D10+D14</f>
        <v>1238085771</v>
      </c>
      <c r="E15" s="397">
        <f t="shared" si="0"/>
        <v>248462334</v>
      </c>
      <c r="F15" s="387">
        <f t="shared" si="0"/>
        <v>975871954</v>
      </c>
      <c r="G15" s="398">
        <f t="shared" si="0"/>
        <v>312871422</v>
      </c>
      <c r="H15" s="399">
        <f>E15/12</f>
        <v>20705194.5</v>
      </c>
      <c r="I15" s="400" t="s">
        <v>456</v>
      </c>
    </row>
  </sheetData>
  <mergeCells count="3">
    <mergeCell ref="B10:C10"/>
    <mergeCell ref="B14:C14"/>
    <mergeCell ref="B15:C15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5F1B-8FAA-424F-A100-F8F5394E7011}">
  <sheetPr>
    <tabColor rgb="FF92D050"/>
  </sheetPr>
  <dimension ref="A1:S170"/>
  <sheetViews>
    <sheetView showGridLines="0" zoomScale="80" zoomScaleNormal="80" workbookViewId="0">
      <pane xSplit="3" ySplit="2" topLeftCell="D27" activePane="bottomRight" state="frozen"/>
      <selection pane="topRight" activeCell="D1" sqref="D1"/>
      <selection pane="bottomLeft" activeCell="A3" sqref="A3"/>
      <selection pane="bottomRight" activeCell="B22" sqref="B22:I41"/>
    </sheetView>
  </sheetViews>
  <sheetFormatPr baseColWidth="10" defaultColWidth="12.5" defaultRowHeight="15"/>
  <cols>
    <col min="1" max="1" width="9.6640625" style="869" customWidth="1"/>
    <col min="2" max="3" width="11.83203125" style="869" customWidth="1"/>
    <col min="4" max="4" width="6.6640625" style="869" customWidth="1"/>
    <col min="5" max="5" width="54.6640625" style="869" customWidth="1"/>
    <col min="6" max="6" width="9.83203125" style="869" customWidth="1"/>
    <col min="7" max="7" width="15.33203125" style="869" bestFit="1" customWidth="1"/>
    <col min="8" max="8" width="12.1640625" style="869" bestFit="1" customWidth="1"/>
    <col min="9" max="9" width="15.33203125" style="869" bestFit="1" customWidth="1"/>
    <col min="10" max="10" width="18" style="869" bestFit="1" customWidth="1"/>
    <col min="11" max="11" width="13.6640625" style="869" bestFit="1" customWidth="1"/>
    <col min="12" max="12" width="5.1640625" style="870" customWidth="1"/>
    <col min="13" max="13" width="6.6640625" style="870" customWidth="1"/>
    <col min="14" max="14" width="5.1640625" style="870" customWidth="1"/>
    <col min="15" max="15" width="13.5" style="871" bestFit="1" customWidth="1"/>
    <col min="16" max="16" width="10.33203125" style="869" customWidth="1"/>
    <col min="17" max="17" width="18" style="869" bestFit="1" customWidth="1"/>
    <col min="18" max="18" width="13.5" style="869" bestFit="1" customWidth="1"/>
    <col min="19" max="256" width="12.5" style="869"/>
    <col min="257" max="257" width="9.6640625" style="869" customWidth="1"/>
    <col min="258" max="259" width="11.83203125" style="869" customWidth="1"/>
    <col min="260" max="260" width="6.6640625" style="869" customWidth="1"/>
    <col min="261" max="261" width="54.6640625" style="869" customWidth="1"/>
    <col min="262" max="262" width="9.83203125" style="869" customWidth="1"/>
    <col min="263" max="263" width="15.33203125" style="869" bestFit="1" customWidth="1"/>
    <col min="264" max="264" width="12.1640625" style="869" bestFit="1" customWidth="1"/>
    <col min="265" max="265" width="15.33203125" style="869" bestFit="1" customWidth="1"/>
    <col min="266" max="266" width="18" style="869" bestFit="1" customWidth="1"/>
    <col min="267" max="267" width="13.6640625" style="869" bestFit="1" customWidth="1"/>
    <col min="268" max="270" width="0" style="869" hidden="1" customWidth="1"/>
    <col min="271" max="271" width="13.5" style="869" bestFit="1" customWidth="1"/>
    <col min="272" max="272" width="0" style="869" hidden="1" customWidth="1"/>
    <col min="273" max="273" width="18" style="869" bestFit="1" customWidth="1"/>
    <col min="274" max="274" width="13.5" style="869" bestFit="1" customWidth="1"/>
    <col min="275" max="512" width="12.5" style="869"/>
    <col min="513" max="513" width="9.6640625" style="869" customWidth="1"/>
    <col min="514" max="515" width="11.83203125" style="869" customWidth="1"/>
    <col min="516" max="516" width="6.6640625" style="869" customWidth="1"/>
    <col min="517" max="517" width="54.6640625" style="869" customWidth="1"/>
    <col min="518" max="518" width="9.83203125" style="869" customWidth="1"/>
    <col min="519" max="519" width="15.33203125" style="869" bestFit="1" customWidth="1"/>
    <col min="520" max="520" width="12.1640625" style="869" bestFit="1" customWidth="1"/>
    <col min="521" max="521" width="15.33203125" style="869" bestFit="1" customWidth="1"/>
    <col min="522" max="522" width="18" style="869" bestFit="1" customWidth="1"/>
    <col min="523" max="523" width="13.6640625" style="869" bestFit="1" customWidth="1"/>
    <col min="524" max="526" width="0" style="869" hidden="1" customWidth="1"/>
    <col min="527" max="527" width="13.5" style="869" bestFit="1" customWidth="1"/>
    <col min="528" max="528" width="0" style="869" hidden="1" customWidth="1"/>
    <col min="529" max="529" width="18" style="869" bestFit="1" customWidth="1"/>
    <col min="530" max="530" width="13.5" style="869" bestFit="1" customWidth="1"/>
    <col min="531" max="768" width="12.5" style="869"/>
    <col min="769" max="769" width="9.6640625" style="869" customWidth="1"/>
    <col min="770" max="771" width="11.83203125" style="869" customWidth="1"/>
    <col min="772" max="772" width="6.6640625" style="869" customWidth="1"/>
    <col min="773" max="773" width="54.6640625" style="869" customWidth="1"/>
    <col min="774" max="774" width="9.83203125" style="869" customWidth="1"/>
    <col min="775" max="775" width="15.33203125" style="869" bestFit="1" customWidth="1"/>
    <col min="776" max="776" width="12.1640625" style="869" bestFit="1" customWidth="1"/>
    <col min="777" max="777" width="15.33203125" style="869" bestFit="1" customWidth="1"/>
    <col min="778" max="778" width="18" style="869" bestFit="1" customWidth="1"/>
    <col min="779" max="779" width="13.6640625" style="869" bestFit="1" customWidth="1"/>
    <col min="780" max="782" width="0" style="869" hidden="1" customWidth="1"/>
    <col min="783" max="783" width="13.5" style="869" bestFit="1" customWidth="1"/>
    <col min="784" max="784" width="0" style="869" hidden="1" customWidth="1"/>
    <col min="785" max="785" width="18" style="869" bestFit="1" customWidth="1"/>
    <col min="786" max="786" width="13.5" style="869" bestFit="1" customWidth="1"/>
    <col min="787" max="1024" width="12.5" style="869"/>
    <col min="1025" max="1025" width="9.6640625" style="869" customWidth="1"/>
    <col min="1026" max="1027" width="11.83203125" style="869" customWidth="1"/>
    <col min="1028" max="1028" width="6.6640625" style="869" customWidth="1"/>
    <col min="1029" max="1029" width="54.6640625" style="869" customWidth="1"/>
    <col min="1030" max="1030" width="9.83203125" style="869" customWidth="1"/>
    <col min="1031" max="1031" width="15.33203125" style="869" bestFit="1" customWidth="1"/>
    <col min="1032" max="1032" width="12.1640625" style="869" bestFit="1" customWidth="1"/>
    <col min="1033" max="1033" width="15.33203125" style="869" bestFit="1" customWidth="1"/>
    <col min="1034" max="1034" width="18" style="869" bestFit="1" customWidth="1"/>
    <col min="1035" max="1035" width="13.6640625" style="869" bestFit="1" customWidth="1"/>
    <col min="1036" max="1038" width="0" style="869" hidden="1" customWidth="1"/>
    <col min="1039" max="1039" width="13.5" style="869" bestFit="1" customWidth="1"/>
    <col min="1040" max="1040" width="0" style="869" hidden="1" customWidth="1"/>
    <col min="1041" max="1041" width="18" style="869" bestFit="1" customWidth="1"/>
    <col min="1042" max="1042" width="13.5" style="869" bestFit="1" customWidth="1"/>
    <col min="1043" max="1280" width="12.5" style="869"/>
    <col min="1281" max="1281" width="9.6640625" style="869" customWidth="1"/>
    <col min="1282" max="1283" width="11.83203125" style="869" customWidth="1"/>
    <col min="1284" max="1284" width="6.6640625" style="869" customWidth="1"/>
    <col min="1285" max="1285" width="54.6640625" style="869" customWidth="1"/>
    <col min="1286" max="1286" width="9.83203125" style="869" customWidth="1"/>
    <col min="1287" max="1287" width="15.33203125" style="869" bestFit="1" customWidth="1"/>
    <col min="1288" max="1288" width="12.1640625" style="869" bestFit="1" customWidth="1"/>
    <col min="1289" max="1289" width="15.33203125" style="869" bestFit="1" customWidth="1"/>
    <col min="1290" max="1290" width="18" style="869" bestFit="1" customWidth="1"/>
    <col min="1291" max="1291" width="13.6640625" style="869" bestFit="1" customWidth="1"/>
    <col min="1292" max="1294" width="0" style="869" hidden="1" customWidth="1"/>
    <col min="1295" max="1295" width="13.5" style="869" bestFit="1" customWidth="1"/>
    <col min="1296" max="1296" width="0" style="869" hidden="1" customWidth="1"/>
    <col min="1297" max="1297" width="18" style="869" bestFit="1" customWidth="1"/>
    <col min="1298" max="1298" width="13.5" style="869" bestFit="1" customWidth="1"/>
    <col min="1299" max="1536" width="12.5" style="869"/>
    <col min="1537" max="1537" width="9.6640625" style="869" customWidth="1"/>
    <col min="1538" max="1539" width="11.83203125" style="869" customWidth="1"/>
    <col min="1540" max="1540" width="6.6640625" style="869" customWidth="1"/>
    <col min="1541" max="1541" width="54.6640625" style="869" customWidth="1"/>
    <col min="1542" max="1542" width="9.83203125" style="869" customWidth="1"/>
    <col min="1543" max="1543" width="15.33203125" style="869" bestFit="1" customWidth="1"/>
    <col min="1544" max="1544" width="12.1640625" style="869" bestFit="1" customWidth="1"/>
    <col min="1545" max="1545" width="15.33203125" style="869" bestFit="1" customWidth="1"/>
    <col min="1546" max="1546" width="18" style="869" bestFit="1" customWidth="1"/>
    <col min="1547" max="1547" width="13.6640625" style="869" bestFit="1" customWidth="1"/>
    <col min="1548" max="1550" width="0" style="869" hidden="1" customWidth="1"/>
    <col min="1551" max="1551" width="13.5" style="869" bestFit="1" customWidth="1"/>
    <col min="1552" max="1552" width="0" style="869" hidden="1" customWidth="1"/>
    <col min="1553" max="1553" width="18" style="869" bestFit="1" customWidth="1"/>
    <col min="1554" max="1554" width="13.5" style="869" bestFit="1" customWidth="1"/>
    <col min="1555" max="1792" width="12.5" style="869"/>
    <col min="1793" max="1793" width="9.6640625" style="869" customWidth="1"/>
    <col min="1794" max="1795" width="11.83203125" style="869" customWidth="1"/>
    <col min="1796" max="1796" width="6.6640625" style="869" customWidth="1"/>
    <col min="1797" max="1797" width="54.6640625" style="869" customWidth="1"/>
    <col min="1798" max="1798" width="9.83203125" style="869" customWidth="1"/>
    <col min="1799" max="1799" width="15.33203125" style="869" bestFit="1" customWidth="1"/>
    <col min="1800" max="1800" width="12.1640625" style="869" bestFit="1" customWidth="1"/>
    <col min="1801" max="1801" width="15.33203125" style="869" bestFit="1" customWidth="1"/>
    <col min="1802" max="1802" width="18" style="869" bestFit="1" customWidth="1"/>
    <col min="1803" max="1803" width="13.6640625" style="869" bestFit="1" customWidth="1"/>
    <col min="1804" max="1806" width="0" style="869" hidden="1" customWidth="1"/>
    <col min="1807" max="1807" width="13.5" style="869" bestFit="1" customWidth="1"/>
    <col min="1808" max="1808" width="0" style="869" hidden="1" customWidth="1"/>
    <col min="1809" max="1809" width="18" style="869" bestFit="1" customWidth="1"/>
    <col min="1810" max="1810" width="13.5" style="869" bestFit="1" customWidth="1"/>
    <col min="1811" max="2048" width="12.5" style="869"/>
    <col min="2049" max="2049" width="9.6640625" style="869" customWidth="1"/>
    <col min="2050" max="2051" width="11.83203125" style="869" customWidth="1"/>
    <col min="2052" max="2052" width="6.6640625" style="869" customWidth="1"/>
    <col min="2053" max="2053" width="54.6640625" style="869" customWidth="1"/>
    <col min="2054" max="2054" width="9.83203125" style="869" customWidth="1"/>
    <col min="2055" max="2055" width="15.33203125" style="869" bestFit="1" customWidth="1"/>
    <col min="2056" max="2056" width="12.1640625" style="869" bestFit="1" customWidth="1"/>
    <col min="2057" max="2057" width="15.33203125" style="869" bestFit="1" customWidth="1"/>
    <col min="2058" max="2058" width="18" style="869" bestFit="1" customWidth="1"/>
    <col min="2059" max="2059" width="13.6640625" style="869" bestFit="1" customWidth="1"/>
    <col min="2060" max="2062" width="0" style="869" hidden="1" customWidth="1"/>
    <col min="2063" max="2063" width="13.5" style="869" bestFit="1" customWidth="1"/>
    <col min="2064" max="2064" width="0" style="869" hidden="1" customWidth="1"/>
    <col min="2065" max="2065" width="18" style="869" bestFit="1" customWidth="1"/>
    <col min="2066" max="2066" width="13.5" style="869" bestFit="1" customWidth="1"/>
    <col min="2067" max="2304" width="12.5" style="869"/>
    <col min="2305" max="2305" width="9.6640625" style="869" customWidth="1"/>
    <col min="2306" max="2307" width="11.83203125" style="869" customWidth="1"/>
    <col min="2308" max="2308" width="6.6640625" style="869" customWidth="1"/>
    <col min="2309" max="2309" width="54.6640625" style="869" customWidth="1"/>
    <col min="2310" max="2310" width="9.83203125" style="869" customWidth="1"/>
    <col min="2311" max="2311" width="15.33203125" style="869" bestFit="1" customWidth="1"/>
    <col min="2312" max="2312" width="12.1640625" style="869" bestFit="1" customWidth="1"/>
    <col min="2313" max="2313" width="15.33203125" style="869" bestFit="1" customWidth="1"/>
    <col min="2314" max="2314" width="18" style="869" bestFit="1" customWidth="1"/>
    <col min="2315" max="2315" width="13.6640625" style="869" bestFit="1" customWidth="1"/>
    <col min="2316" max="2318" width="0" style="869" hidden="1" customWidth="1"/>
    <col min="2319" max="2319" width="13.5" style="869" bestFit="1" customWidth="1"/>
    <col min="2320" max="2320" width="0" style="869" hidden="1" customWidth="1"/>
    <col min="2321" max="2321" width="18" style="869" bestFit="1" customWidth="1"/>
    <col min="2322" max="2322" width="13.5" style="869" bestFit="1" customWidth="1"/>
    <col min="2323" max="2560" width="12.5" style="869"/>
    <col min="2561" max="2561" width="9.6640625" style="869" customWidth="1"/>
    <col min="2562" max="2563" width="11.83203125" style="869" customWidth="1"/>
    <col min="2564" max="2564" width="6.6640625" style="869" customWidth="1"/>
    <col min="2565" max="2565" width="54.6640625" style="869" customWidth="1"/>
    <col min="2566" max="2566" width="9.83203125" style="869" customWidth="1"/>
    <col min="2567" max="2567" width="15.33203125" style="869" bestFit="1" customWidth="1"/>
    <col min="2568" max="2568" width="12.1640625" style="869" bestFit="1" customWidth="1"/>
    <col min="2569" max="2569" width="15.33203125" style="869" bestFit="1" customWidth="1"/>
    <col min="2570" max="2570" width="18" style="869" bestFit="1" customWidth="1"/>
    <col min="2571" max="2571" width="13.6640625" style="869" bestFit="1" customWidth="1"/>
    <col min="2572" max="2574" width="0" style="869" hidden="1" customWidth="1"/>
    <col min="2575" max="2575" width="13.5" style="869" bestFit="1" customWidth="1"/>
    <col min="2576" max="2576" width="0" style="869" hidden="1" customWidth="1"/>
    <col min="2577" max="2577" width="18" style="869" bestFit="1" customWidth="1"/>
    <col min="2578" max="2578" width="13.5" style="869" bestFit="1" customWidth="1"/>
    <col min="2579" max="2816" width="12.5" style="869"/>
    <col min="2817" max="2817" width="9.6640625" style="869" customWidth="1"/>
    <col min="2818" max="2819" width="11.83203125" style="869" customWidth="1"/>
    <col min="2820" max="2820" width="6.6640625" style="869" customWidth="1"/>
    <col min="2821" max="2821" width="54.6640625" style="869" customWidth="1"/>
    <col min="2822" max="2822" width="9.83203125" style="869" customWidth="1"/>
    <col min="2823" max="2823" width="15.33203125" style="869" bestFit="1" customWidth="1"/>
    <col min="2824" max="2824" width="12.1640625" style="869" bestFit="1" customWidth="1"/>
    <col min="2825" max="2825" width="15.33203125" style="869" bestFit="1" customWidth="1"/>
    <col min="2826" max="2826" width="18" style="869" bestFit="1" customWidth="1"/>
    <col min="2827" max="2827" width="13.6640625" style="869" bestFit="1" customWidth="1"/>
    <col min="2828" max="2830" width="0" style="869" hidden="1" customWidth="1"/>
    <col min="2831" max="2831" width="13.5" style="869" bestFit="1" customWidth="1"/>
    <col min="2832" max="2832" width="0" style="869" hidden="1" customWidth="1"/>
    <col min="2833" max="2833" width="18" style="869" bestFit="1" customWidth="1"/>
    <col min="2834" max="2834" width="13.5" style="869" bestFit="1" customWidth="1"/>
    <col min="2835" max="3072" width="12.5" style="869"/>
    <col min="3073" max="3073" width="9.6640625" style="869" customWidth="1"/>
    <col min="3074" max="3075" width="11.83203125" style="869" customWidth="1"/>
    <col min="3076" max="3076" width="6.6640625" style="869" customWidth="1"/>
    <col min="3077" max="3077" width="54.6640625" style="869" customWidth="1"/>
    <col min="3078" max="3078" width="9.83203125" style="869" customWidth="1"/>
    <col min="3079" max="3079" width="15.33203125" style="869" bestFit="1" customWidth="1"/>
    <col min="3080" max="3080" width="12.1640625" style="869" bestFit="1" customWidth="1"/>
    <col min="3081" max="3081" width="15.33203125" style="869" bestFit="1" customWidth="1"/>
    <col min="3082" max="3082" width="18" style="869" bestFit="1" customWidth="1"/>
    <col min="3083" max="3083" width="13.6640625" style="869" bestFit="1" customWidth="1"/>
    <col min="3084" max="3086" width="0" style="869" hidden="1" customWidth="1"/>
    <col min="3087" max="3087" width="13.5" style="869" bestFit="1" customWidth="1"/>
    <col min="3088" max="3088" width="0" style="869" hidden="1" customWidth="1"/>
    <col min="3089" max="3089" width="18" style="869" bestFit="1" customWidth="1"/>
    <col min="3090" max="3090" width="13.5" style="869" bestFit="1" customWidth="1"/>
    <col min="3091" max="3328" width="12.5" style="869"/>
    <col min="3329" max="3329" width="9.6640625" style="869" customWidth="1"/>
    <col min="3330" max="3331" width="11.83203125" style="869" customWidth="1"/>
    <col min="3332" max="3332" width="6.6640625" style="869" customWidth="1"/>
    <col min="3333" max="3333" width="54.6640625" style="869" customWidth="1"/>
    <col min="3334" max="3334" width="9.83203125" style="869" customWidth="1"/>
    <col min="3335" max="3335" width="15.33203125" style="869" bestFit="1" customWidth="1"/>
    <col min="3336" max="3336" width="12.1640625" style="869" bestFit="1" customWidth="1"/>
    <col min="3337" max="3337" width="15.33203125" style="869" bestFit="1" customWidth="1"/>
    <col min="3338" max="3338" width="18" style="869" bestFit="1" customWidth="1"/>
    <col min="3339" max="3339" width="13.6640625" style="869" bestFit="1" customWidth="1"/>
    <col min="3340" max="3342" width="0" style="869" hidden="1" customWidth="1"/>
    <col min="3343" max="3343" width="13.5" style="869" bestFit="1" customWidth="1"/>
    <col min="3344" max="3344" width="0" style="869" hidden="1" customWidth="1"/>
    <col min="3345" max="3345" width="18" style="869" bestFit="1" customWidth="1"/>
    <col min="3346" max="3346" width="13.5" style="869" bestFit="1" customWidth="1"/>
    <col min="3347" max="3584" width="12.5" style="869"/>
    <col min="3585" max="3585" width="9.6640625" style="869" customWidth="1"/>
    <col min="3586" max="3587" width="11.83203125" style="869" customWidth="1"/>
    <col min="3588" max="3588" width="6.6640625" style="869" customWidth="1"/>
    <col min="3589" max="3589" width="54.6640625" style="869" customWidth="1"/>
    <col min="3590" max="3590" width="9.83203125" style="869" customWidth="1"/>
    <col min="3591" max="3591" width="15.33203125" style="869" bestFit="1" customWidth="1"/>
    <col min="3592" max="3592" width="12.1640625" style="869" bestFit="1" customWidth="1"/>
    <col min="3593" max="3593" width="15.33203125" style="869" bestFit="1" customWidth="1"/>
    <col min="3594" max="3594" width="18" style="869" bestFit="1" customWidth="1"/>
    <col min="3595" max="3595" width="13.6640625" style="869" bestFit="1" customWidth="1"/>
    <col min="3596" max="3598" width="0" style="869" hidden="1" customWidth="1"/>
    <col min="3599" max="3599" width="13.5" style="869" bestFit="1" customWidth="1"/>
    <col min="3600" max="3600" width="0" style="869" hidden="1" customWidth="1"/>
    <col min="3601" max="3601" width="18" style="869" bestFit="1" customWidth="1"/>
    <col min="3602" max="3602" width="13.5" style="869" bestFit="1" customWidth="1"/>
    <col min="3603" max="3840" width="12.5" style="869"/>
    <col min="3841" max="3841" width="9.6640625" style="869" customWidth="1"/>
    <col min="3842" max="3843" width="11.83203125" style="869" customWidth="1"/>
    <col min="3844" max="3844" width="6.6640625" style="869" customWidth="1"/>
    <col min="3845" max="3845" width="54.6640625" style="869" customWidth="1"/>
    <col min="3846" max="3846" width="9.83203125" style="869" customWidth="1"/>
    <col min="3847" max="3847" width="15.33203125" style="869" bestFit="1" customWidth="1"/>
    <col min="3848" max="3848" width="12.1640625" style="869" bestFit="1" customWidth="1"/>
    <col min="3849" max="3849" width="15.33203125" style="869" bestFit="1" customWidth="1"/>
    <col min="3850" max="3850" width="18" style="869" bestFit="1" customWidth="1"/>
    <col min="3851" max="3851" width="13.6640625" style="869" bestFit="1" customWidth="1"/>
    <col min="3852" max="3854" width="0" style="869" hidden="1" customWidth="1"/>
    <col min="3855" max="3855" width="13.5" style="869" bestFit="1" customWidth="1"/>
    <col min="3856" max="3856" width="0" style="869" hidden="1" customWidth="1"/>
    <col min="3857" max="3857" width="18" style="869" bestFit="1" customWidth="1"/>
    <col min="3858" max="3858" width="13.5" style="869" bestFit="1" customWidth="1"/>
    <col min="3859" max="4096" width="12.5" style="869"/>
    <col min="4097" max="4097" width="9.6640625" style="869" customWidth="1"/>
    <col min="4098" max="4099" width="11.83203125" style="869" customWidth="1"/>
    <col min="4100" max="4100" width="6.6640625" style="869" customWidth="1"/>
    <col min="4101" max="4101" width="54.6640625" style="869" customWidth="1"/>
    <col min="4102" max="4102" width="9.83203125" style="869" customWidth="1"/>
    <col min="4103" max="4103" width="15.33203125" style="869" bestFit="1" customWidth="1"/>
    <col min="4104" max="4104" width="12.1640625" style="869" bestFit="1" customWidth="1"/>
    <col min="4105" max="4105" width="15.33203125" style="869" bestFit="1" customWidth="1"/>
    <col min="4106" max="4106" width="18" style="869" bestFit="1" customWidth="1"/>
    <col min="4107" max="4107" width="13.6640625" style="869" bestFit="1" customWidth="1"/>
    <col min="4108" max="4110" width="0" style="869" hidden="1" customWidth="1"/>
    <col min="4111" max="4111" width="13.5" style="869" bestFit="1" customWidth="1"/>
    <col min="4112" max="4112" width="0" style="869" hidden="1" customWidth="1"/>
    <col min="4113" max="4113" width="18" style="869" bestFit="1" customWidth="1"/>
    <col min="4114" max="4114" width="13.5" style="869" bestFit="1" customWidth="1"/>
    <col min="4115" max="4352" width="12.5" style="869"/>
    <col min="4353" max="4353" width="9.6640625" style="869" customWidth="1"/>
    <col min="4354" max="4355" width="11.83203125" style="869" customWidth="1"/>
    <col min="4356" max="4356" width="6.6640625" style="869" customWidth="1"/>
    <col min="4357" max="4357" width="54.6640625" style="869" customWidth="1"/>
    <col min="4358" max="4358" width="9.83203125" style="869" customWidth="1"/>
    <col min="4359" max="4359" width="15.33203125" style="869" bestFit="1" customWidth="1"/>
    <col min="4360" max="4360" width="12.1640625" style="869" bestFit="1" customWidth="1"/>
    <col min="4361" max="4361" width="15.33203125" style="869" bestFit="1" customWidth="1"/>
    <col min="4362" max="4362" width="18" style="869" bestFit="1" customWidth="1"/>
    <col min="4363" max="4363" width="13.6640625" style="869" bestFit="1" customWidth="1"/>
    <col min="4364" max="4366" width="0" style="869" hidden="1" customWidth="1"/>
    <col min="4367" max="4367" width="13.5" style="869" bestFit="1" customWidth="1"/>
    <col min="4368" max="4368" width="0" style="869" hidden="1" customWidth="1"/>
    <col min="4369" max="4369" width="18" style="869" bestFit="1" customWidth="1"/>
    <col min="4370" max="4370" width="13.5" style="869" bestFit="1" customWidth="1"/>
    <col min="4371" max="4608" width="12.5" style="869"/>
    <col min="4609" max="4609" width="9.6640625" style="869" customWidth="1"/>
    <col min="4610" max="4611" width="11.83203125" style="869" customWidth="1"/>
    <col min="4612" max="4612" width="6.6640625" style="869" customWidth="1"/>
    <col min="4613" max="4613" width="54.6640625" style="869" customWidth="1"/>
    <col min="4614" max="4614" width="9.83203125" style="869" customWidth="1"/>
    <col min="4615" max="4615" width="15.33203125" style="869" bestFit="1" customWidth="1"/>
    <col min="4616" max="4616" width="12.1640625" style="869" bestFit="1" customWidth="1"/>
    <col min="4617" max="4617" width="15.33203125" style="869" bestFit="1" customWidth="1"/>
    <col min="4618" max="4618" width="18" style="869" bestFit="1" customWidth="1"/>
    <col min="4619" max="4619" width="13.6640625" style="869" bestFit="1" customWidth="1"/>
    <col min="4620" max="4622" width="0" style="869" hidden="1" customWidth="1"/>
    <col min="4623" max="4623" width="13.5" style="869" bestFit="1" customWidth="1"/>
    <col min="4624" max="4624" width="0" style="869" hidden="1" customWidth="1"/>
    <col min="4625" max="4625" width="18" style="869" bestFit="1" customWidth="1"/>
    <col min="4626" max="4626" width="13.5" style="869" bestFit="1" customWidth="1"/>
    <col min="4627" max="4864" width="12.5" style="869"/>
    <col min="4865" max="4865" width="9.6640625" style="869" customWidth="1"/>
    <col min="4866" max="4867" width="11.83203125" style="869" customWidth="1"/>
    <col min="4868" max="4868" width="6.6640625" style="869" customWidth="1"/>
    <col min="4869" max="4869" width="54.6640625" style="869" customWidth="1"/>
    <col min="4870" max="4870" width="9.83203125" style="869" customWidth="1"/>
    <col min="4871" max="4871" width="15.33203125" style="869" bestFit="1" customWidth="1"/>
    <col min="4872" max="4872" width="12.1640625" style="869" bestFit="1" customWidth="1"/>
    <col min="4873" max="4873" width="15.33203125" style="869" bestFit="1" customWidth="1"/>
    <col min="4874" max="4874" width="18" style="869" bestFit="1" customWidth="1"/>
    <col min="4875" max="4875" width="13.6640625" style="869" bestFit="1" customWidth="1"/>
    <col min="4876" max="4878" width="0" style="869" hidden="1" customWidth="1"/>
    <col min="4879" max="4879" width="13.5" style="869" bestFit="1" customWidth="1"/>
    <col min="4880" max="4880" width="0" style="869" hidden="1" customWidth="1"/>
    <col min="4881" max="4881" width="18" style="869" bestFit="1" customWidth="1"/>
    <col min="4882" max="4882" width="13.5" style="869" bestFit="1" customWidth="1"/>
    <col min="4883" max="5120" width="12.5" style="869"/>
    <col min="5121" max="5121" width="9.6640625" style="869" customWidth="1"/>
    <col min="5122" max="5123" width="11.83203125" style="869" customWidth="1"/>
    <col min="5124" max="5124" width="6.6640625" style="869" customWidth="1"/>
    <col min="5125" max="5125" width="54.6640625" style="869" customWidth="1"/>
    <col min="5126" max="5126" width="9.83203125" style="869" customWidth="1"/>
    <col min="5127" max="5127" width="15.33203125" style="869" bestFit="1" customWidth="1"/>
    <col min="5128" max="5128" width="12.1640625" style="869" bestFit="1" customWidth="1"/>
    <col min="5129" max="5129" width="15.33203125" style="869" bestFit="1" customWidth="1"/>
    <col min="5130" max="5130" width="18" style="869" bestFit="1" customWidth="1"/>
    <col min="5131" max="5131" width="13.6640625" style="869" bestFit="1" customWidth="1"/>
    <col min="5132" max="5134" width="0" style="869" hidden="1" customWidth="1"/>
    <col min="5135" max="5135" width="13.5" style="869" bestFit="1" customWidth="1"/>
    <col min="5136" max="5136" width="0" style="869" hidden="1" customWidth="1"/>
    <col min="5137" max="5137" width="18" style="869" bestFit="1" customWidth="1"/>
    <col min="5138" max="5138" width="13.5" style="869" bestFit="1" customWidth="1"/>
    <col min="5139" max="5376" width="12.5" style="869"/>
    <col min="5377" max="5377" width="9.6640625" style="869" customWidth="1"/>
    <col min="5378" max="5379" width="11.83203125" style="869" customWidth="1"/>
    <col min="5380" max="5380" width="6.6640625" style="869" customWidth="1"/>
    <col min="5381" max="5381" width="54.6640625" style="869" customWidth="1"/>
    <col min="5382" max="5382" width="9.83203125" style="869" customWidth="1"/>
    <col min="5383" max="5383" width="15.33203125" style="869" bestFit="1" customWidth="1"/>
    <col min="5384" max="5384" width="12.1640625" style="869" bestFit="1" customWidth="1"/>
    <col min="5385" max="5385" width="15.33203125" style="869" bestFit="1" customWidth="1"/>
    <col min="5386" max="5386" width="18" style="869" bestFit="1" customWidth="1"/>
    <col min="5387" max="5387" width="13.6640625" style="869" bestFit="1" customWidth="1"/>
    <col min="5388" max="5390" width="0" style="869" hidden="1" customWidth="1"/>
    <col min="5391" max="5391" width="13.5" style="869" bestFit="1" customWidth="1"/>
    <col min="5392" max="5392" width="0" style="869" hidden="1" customWidth="1"/>
    <col min="5393" max="5393" width="18" style="869" bestFit="1" customWidth="1"/>
    <col min="5394" max="5394" width="13.5" style="869" bestFit="1" customWidth="1"/>
    <col min="5395" max="5632" width="12.5" style="869"/>
    <col min="5633" max="5633" width="9.6640625" style="869" customWidth="1"/>
    <col min="5634" max="5635" width="11.83203125" style="869" customWidth="1"/>
    <col min="5636" max="5636" width="6.6640625" style="869" customWidth="1"/>
    <col min="5637" max="5637" width="54.6640625" style="869" customWidth="1"/>
    <col min="5638" max="5638" width="9.83203125" style="869" customWidth="1"/>
    <col min="5639" max="5639" width="15.33203125" style="869" bestFit="1" customWidth="1"/>
    <col min="5640" max="5640" width="12.1640625" style="869" bestFit="1" customWidth="1"/>
    <col min="5641" max="5641" width="15.33203125" style="869" bestFit="1" customWidth="1"/>
    <col min="5642" max="5642" width="18" style="869" bestFit="1" customWidth="1"/>
    <col min="5643" max="5643" width="13.6640625" style="869" bestFit="1" customWidth="1"/>
    <col min="5644" max="5646" width="0" style="869" hidden="1" customWidth="1"/>
    <col min="5647" max="5647" width="13.5" style="869" bestFit="1" customWidth="1"/>
    <col min="5648" max="5648" width="0" style="869" hidden="1" customWidth="1"/>
    <col min="5649" max="5649" width="18" style="869" bestFit="1" customWidth="1"/>
    <col min="5650" max="5650" width="13.5" style="869" bestFit="1" customWidth="1"/>
    <col min="5651" max="5888" width="12.5" style="869"/>
    <col min="5889" max="5889" width="9.6640625" style="869" customWidth="1"/>
    <col min="5890" max="5891" width="11.83203125" style="869" customWidth="1"/>
    <col min="5892" max="5892" width="6.6640625" style="869" customWidth="1"/>
    <col min="5893" max="5893" width="54.6640625" style="869" customWidth="1"/>
    <col min="5894" max="5894" width="9.83203125" style="869" customWidth="1"/>
    <col min="5895" max="5895" width="15.33203125" style="869" bestFit="1" customWidth="1"/>
    <col min="5896" max="5896" width="12.1640625" style="869" bestFit="1" customWidth="1"/>
    <col min="5897" max="5897" width="15.33203125" style="869" bestFit="1" customWidth="1"/>
    <col min="5898" max="5898" width="18" style="869" bestFit="1" customWidth="1"/>
    <col min="5899" max="5899" width="13.6640625" style="869" bestFit="1" customWidth="1"/>
    <col min="5900" max="5902" width="0" style="869" hidden="1" customWidth="1"/>
    <col min="5903" max="5903" width="13.5" style="869" bestFit="1" customWidth="1"/>
    <col min="5904" max="5904" width="0" style="869" hidden="1" customWidth="1"/>
    <col min="5905" max="5905" width="18" style="869" bestFit="1" customWidth="1"/>
    <col min="5906" max="5906" width="13.5" style="869" bestFit="1" customWidth="1"/>
    <col min="5907" max="6144" width="12.5" style="869"/>
    <col min="6145" max="6145" width="9.6640625" style="869" customWidth="1"/>
    <col min="6146" max="6147" width="11.83203125" style="869" customWidth="1"/>
    <col min="6148" max="6148" width="6.6640625" style="869" customWidth="1"/>
    <col min="6149" max="6149" width="54.6640625" style="869" customWidth="1"/>
    <col min="6150" max="6150" width="9.83203125" style="869" customWidth="1"/>
    <col min="6151" max="6151" width="15.33203125" style="869" bestFit="1" customWidth="1"/>
    <col min="6152" max="6152" width="12.1640625" style="869" bestFit="1" customWidth="1"/>
    <col min="6153" max="6153" width="15.33203125" style="869" bestFit="1" customWidth="1"/>
    <col min="6154" max="6154" width="18" style="869" bestFit="1" customWidth="1"/>
    <col min="6155" max="6155" width="13.6640625" style="869" bestFit="1" customWidth="1"/>
    <col min="6156" max="6158" width="0" style="869" hidden="1" customWidth="1"/>
    <col min="6159" max="6159" width="13.5" style="869" bestFit="1" customWidth="1"/>
    <col min="6160" max="6160" width="0" style="869" hidden="1" customWidth="1"/>
    <col min="6161" max="6161" width="18" style="869" bestFit="1" customWidth="1"/>
    <col min="6162" max="6162" width="13.5" style="869" bestFit="1" customWidth="1"/>
    <col min="6163" max="6400" width="12.5" style="869"/>
    <col min="6401" max="6401" width="9.6640625" style="869" customWidth="1"/>
    <col min="6402" max="6403" width="11.83203125" style="869" customWidth="1"/>
    <col min="6404" max="6404" width="6.6640625" style="869" customWidth="1"/>
    <col min="6405" max="6405" width="54.6640625" style="869" customWidth="1"/>
    <col min="6406" max="6406" width="9.83203125" style="869" customWidth="1"/>
    <col min="6407" max="6407" width="15.33203125" style="869" bestFit="1" customWidth="1"/>
    <col min="6408" max="6408" width="12.1640625" style="869" bestFit="1" customWidth="1"/>
    <col min="6409" max="6409" width="15.33203125" style="869" bestFit="1" customWidth="1"/>
    <col min="6410" max="6410" width="18" style="869" bestFit="1" customWidth="1"/>
    <col min="6411" max="6411" width="13.6640625" style="869" bestFit="1" customWidth="1"/>
    <col min="6412" max="6414" width="0" style="869" hidden="1" customWidth="1"/>
    <col min="6415" max="6415" width="13.5" style="869" bestFit="1" customWidth="1"/>
    <col min="6416" max="6416" width="0" style="869" hidden="1" customWidth="1"/>
    <col min="6417" max="6417" width="18" style="869" bestFit="1" customWidth="1"/>
    <col min="6418" max="6418" width="13.5" style="869" bestFit="1" customWidth="1"/>
    <col min="6419" max="6656" width="12.5" style="869"/>
    <col min="6657" max="6657" width="9.6640625" style="869" customWidth="1"/>
    <col min="6658" max="6659" width="11.83203125" style="869" customWidth="1"/>
    <col min="6660" max="6660" width="6.6640625" style="869" customWidth="1"/>
    <col min="6661" max="6661" width="54.6640625" style="869" customWidth="1"/>
    <col min="6662" max="6662" width="9.83203125" style="869" customWidth="1"/>
    <col min="6663" max="6663" width="15.33203125" style="869" bestFit="1" customWidth="1"/>
    <col min="6664" max="6664" width="12.1640625" style="869" bestFit="1" customWidth="1"/>
    <col min="6665" max="6665" width="15.33203125" style="869" bestFit="1" customWidth="1"/>
    <col min="6666" max="6666" width="18" style="869" bestFit="1" customWidth="1"/>
    <col min="6667" max="6667" width="13.6640625" style="869" bestFit="1" customWidth="1"/>
    <col min="6668" max="6670" width="0" style="869" hidden="1" customWidth="1"/>
    <col min="6671" max="6671" width="13.5" style="869" bestFit="1" customWidth="1"/>
    <col min="6672" max="6672" width="0" style="869" hidden="1" customWidth="1"/>
    <col min="6673" max="6673" width="18" style="869" bestFit="1" customWidth="1"/>
    <col min="6674" max="6674" width="13.5" style="869" bestFit="1" customWidth="1"/>
    <col min="6675" max="6912" width="12.5" style="869"/>
    <col min="6913" max="6913" width="9.6640625" style="869" customWidth="1"/>
    <col min="6914" max="6915" width="11.83203125" style="869" customWidth="1"/>
    <col min="6916" max="6916" width="6.6640625" style="869" customWidth="1"/>
    <col min="6917" max="6917" width="54.6640625" style="869" customWidth="1"/>
    <col min="6918" max="6918" width="9.83203125" style="869" customWidth="1"/>
    <col min="6919" max="6919" width="15.33203125" style="869" bestFit="1" customWidth="1"/>
    <col min="6920" max="6920" width="12.1640625" style="869" bestFit="1" customWidth="1"/>
    <col min="6921" max="6921" width="15.33203125" style="869" bestFit="1" customWidth="1"/>
    <col min="6922" max="6922" width="18" style="869" bestFit="1" customWidth="1"/>
    <col min="6923" max="6923" width="13.6640625" style="869" bestFit="1" customWidth="1"/>
    <col min="6924" max="6926" width="0" style="869" hidden="1" customWidth="1"/>
    <col min="6927" max="6927" width="13.5" style="869" bestFit="1" customWidth="1"/>
    <col min="6928" max="6928" width="0" style="869" hidden="1" customWidth="1"/>
    <col min="6929" max="6929" width="18" style="869" bestFit="1" customWidth="1"/>
    <col min="6930" max="6930" width="13.5" style="869" bestFit="1" customWidth="1"/>
    <col min="6931" max="7168" width="12.5" style="869"/>
    <col min="7169" max="7169" width="9.6640625" style="869" customWidth="1"/>
    <col min="7170" max="7171" width="11.83203125" style="869" customWidth="1"/>
    <col min="7172" max="7172" width="6.6640625" style="869" customWidth="1"/>
    <col min="7173" max="7173" width="54.6640625" style="869" customWidth="1"/>
    <col min="7174" max="7174" width="9.83203125" style="869" customWidth="1"/>
    <col min="7175" max="7175" width="15.33203125" style="869" bestFit="1" customWidth="1"/>
    <col min="7176" max="7176" width="12.1640625" style="869" bestFit="1" customWidth="1"/>
    <col min="7177" max="7177" width="15.33203125" style="869" bestFit="1" customWidth="1"/>
    <col min="7178" max="7178" width="18" style="869" bestFit="1" customWidth="1"/>
    <col min="7179" max="7179" width="13.6640625" style="869" bestFit="1" customWidth="1"/>
    <col min="7180" max="7182" width="0" style="869" hidden="1" customWidth="1"/>
    <col min="7183" max="7183" width="13.5" style="869" bestFit="1" customWidth="1"/>
    <col min="7184" max="7184" width="0" style="869" hidden="1" customWidth="1"/>
    <col min="7185" max="7185" width="18" style="869" bestFit="1" customWidth="1"/>
    <col min="7186" max="7186" width="13.5" style="869" bestFit="1" customWidth="1"/>
    <col min="7187" max="7424" width="12.5" style="869"/>
    <col min="7425" max="7425" width="9.6640625" style="869" customWidth="1"/>
    <col min="7426" max="7427" width="11.83203125" style="869" customWidth="1"/>
    <col min="7428" max="7428" width="6.6640625" style="869" customWidth="1"/>
    <col min="7429" max="7429" width="54.6640625" style="869" customWidth="1"/>
    <col min="7430" max="7430" width="9.83203125" style="869" customWidth="1"/>
    <col min="7431" max="7431" width="15.33203125" style="869" bestFit="1" customWidth="1"/>
    <col min="7432" max="7432" width="12.1640625" style="869" bestFit="1" customWidth="1"/>
    <col min="7433" max="7433" width="15.33203125" style="869" bestFit="1" customWidth="1"/>
    <col min="7434" max="7434" width="18" style="869" bestFit="1" customWidth="1"/>
    <col min="7435" max="7435" width="13.6640625" style="869" bestFit="1" customWidth="1"/>
    <col min="7436" max="7438" width="0" style="869" hidden="1" customWidth="1"/>
    <col min="7439" max="7439" width="13.5" style="869" bestFit="1" customWidth="1"/>
    <col min="7440" max="7440" width="0" style="869" hidden="1" customWidth="1"/>
    <col min="7441" max="7441" width="18" style="869" bestFit="1" customWidth="1"/>
    <col min="7442" max="7442" width="13.5" style="869" bestFit="1" customWidth="1"/>
    <col min="7443" max="7680" width="12.5" style="869"/>
    <col min="7681" max="7681" width="9.6640625" style="869" customWidth="1"/>
    <col min="7682" max="7683" width="11.83203125" style="869" customWidth="1"/>
    <col min="7684" max="7684" width="6.6640625" style="869" customWidth="1"/>
    <col min="7685" max="7685" width="54.6640625" style="869" customWidth="1"/>
    <col min="7686" max="7686" width="9.83203125" style="869" customWidth="1"/>
    <col min="7687" max="7687" width="15.33203125" style="869" bestFit="1" customWidth="1"/>
    <col min="7688" max="7688" width="12.1640625" style="869" bestFit="1" customWidth="1"/>
    <col min="7689" max="7689" width="15.33203125" style="869" bestFit="1" customWidth="1"/>
    <col min="7690" max="7690" width="18" style="869" bestFit="1" customWidth="1"/>
    <col min="7691" max="7691" width="13.6640625" style="869" bestFit="1" customWidth="1"/>
    <col min="7692" max="7694" width="0" style="869" hidden="1" customWidth="1"/>
    <col min="7695" max="7695" width="13.5" style="869" bestFit="1" customWidth="1"/>
    <col min="7696" max="7696" width="0" style="869" hidden="1" customWidth="1"/>
    <col min="7697" max="7697" width="18" style="869" bestFit="1" customWidth="1"/>
    <col min="7698" max="7698" width="13.5" style="869" bestFit="1" customWidth="1"/>
    <col min="7699" max="7936" width="12.5" style="869"/>
    <col min="7937" max="7937" width="9.6640625" style="869" customWidth="1"/>
    <col min="7938" max="7939" width="11.83203125" style="869" customWidth="1"/>
    <col min="7940" max="7940" width="6.6640625" style="869" customWidth="1"/>
    <col min="7941" max="7941" width="54.6640625" style="869" customWidth="1"/>
    <col min="7942" max="7942" width="9.83203125" style="869" customWidth="1"/>
    <col min="7943" max="7943" width="15.33203125" style="869" bestFit="1" customWidth="1"/>
    <col min="7944" max="7944" width="12.1640625" style="869" bestFit="1" customWidth="1"/>
    <col min="7945" max="7945" width="15.33203125" style="869" bestFit="1" customWidth="1"/>
    <col min="7946" max="7946" width="18" style="869" bestFit="1" customWidth="1"/>
    <col min="7947" max="7947" width="13.6640625" style="869" bestFit="1" customWidth="1"/>
    <col min="7948" max="7950" width="0" style="869" hidden="1" customWidth="1"/>
    <col min="7951" max="7951" width="13.5" style="869" bestFit="1" customWidth="1"/>
    <col min="7952" max="7952" width="0" style="869" hidden="1" customWidth="1"/>
    <col min="7953" max="7953" width="18" style="869" bestFit="1" customWidth="1"/>
    <col min="7954" max="7954" width="13.5" style="869" bestFit="1" customWidth="1"/>
    <col min="7955" max="8192" width="12.5" style="869"/>
    <col min="8193" max="8193" width="9.6640625" style="869" customWidth="1"/>
    <col min="8194" max="8195" width="11.83203125" style="869" customWidth="1"/>
    <col min="8196" max="8196" width="6.6640625" style="869" customWidth="1"/>
    <col min="8197" max="8197" width="54.6640625" style="869" customWidth="1"/>
    <col min="8198" max="8198" width="9.83203125" style="869" customWidth="1"/>
    <col min="8199" max="8199" width="15.33203125" style="869" bestFit="1" customWidth="1"/>
    <col min="8200" max="8200" width="12.1640625" style="869" bestFit="1" customWidth="1"/>
    <col min="8201" max="8201" width="15.33203125" style="869" bestFit="1" customWidth="1"/>
    <col min="8202" max="8202" width="18" style="869" bestFit="1" customWidth="1"/>
    <col min="8203" max="8203" width="13.6640625" style="869" bestFit="1" customWidth="1"/>
    <col min="8204" max="8206" width="0" style="869" hidden="1" customWidth="1"/>
    <col min="8207" max="8207" width="13.5" style="869" bestFit="1" customWidth="1"/>
    <col min="8208" max="8208" width="0" style="869" hidden="1" customWidth="1"/>
    <col min="8209" max="8209" width="18" style="869" bestFit="1" customWidth="1"/>
    <col min="8210" max="8210" width="13.5" style="869" bestFit="1" customWidth="1"/>
    <col min="8211" max="8448" width="12.5" style="869"/>
    <col min="8449" max="8449" width="9.6640625" style="869" customWidth="1"/>
    <col min="8450" max="8451" width="11.83203125" style="869" customWidth="1"/>
    <col min="8452" max="8452" width="6.6640625" style="869" customWidth="1"/>
    <col min="8453" max="8453" width="54.6640625" style="869" customWidth="1"/>
    <col min="8454" max="8454" width="9.83203125" style="869" customWidth="1"/>
    <col min="8455" max="8455" width="15.33203125" style="869" bestFit="1" customWidth="1"/>
    <col min="8456" max="8456" width="12.1640625" style="869" bestFit="1" customWidth="1"/>
    <col min="8457" max="8457" width="15.33203125" style="869" bestFit="1" customWidth="1"/>
    <col min="8458" max="8458" width="18" style="869" bestFit="1" customWidth="1"/>
    <col min="8459" max="8459" width="13.6640625" style="869" bestFit="1" customWidth="1"/>
    <col min="8460" max="8462" width="0" style="869" hidden="1" customWidth="1"/>
    <col min="8463" max="8463" width="13.5" style="869" bestFit="1" customWidth="1"/>
    <col min="8464" max="8464" width="0" style="869" hidden="1" customWidth="1"/>
    <col min="8465" max="8465" width="18" style="869" bestFit="1" customWidth="1"/>
    <col min="8466" max="8466" width="13.5" style="869" bestFit="1" customWidth="1"/>
    <col min="8467" max="8704" width="12.5" style="869"/>
    <col min="8705" max="8705" width="9.6640625" style="869" customWidth="1"/>
    <col min="8706" max="8707" width="11.83203125" style="869" customWidth="1"/>
    <col min="8708" max="8708" width="6.6640625" style="869" customWidth="1"/>
    <col min="8709" max="8709" width="54.6640625" style="869" customWidth="1"/>
    <col min="8710" max="8710" width="9.83203125" style="869" customWidth="1"/>
    <col min="8711" max="8711" width="15.33203125" style="869" bestFit="1" customWidth="1"/>
    <col min="8712" max="8712" width="12.1640625" style="869" bestFit="1" customWidth="1"/>
    <col min="8713" max="8713" width="15.33203125" style="869" bestFit="1" customWidth="1"/>
    <col min="8714" max="8714" width="18" style="869" bestFit="1" customWidth="1"/>
    <col min="8715" max="8715" width="13.6640625" style="869" bestFit="1" customWidth="1"/>
    <col min="8716" max="8718" width="0" style="869" hidden="1" customWidth="1"/>
    <col min="8719" max="8719" width="13.5" style="869" bestFit="1" customWidth="1"/>
    <col min="8720" max="8720" width="0" style="869" hidden="1" customWidth="1"/>
    <col min="8721" max="8721" width="18" style="869" bestFit="1" customWidth="1"/>
    <col min="8722" max="8722" width="13.5" style="869" bestFit="1" customWidth="1"/>
    <col min="8723" max="8960" width="12.5" style="869"/>
    <col min="8961" max="8961" width="9.6640625" style="869" customWidth="1"/>
    <col min="8962" max="8963" width="11.83203125" style="869" customWidth="1"/>
    <col min="8964" max="8964" width="6.6640625" style="869" customWidth="1"/>
    <col min="8965" max="8965" width="54.6640625" style="869" customWidth="1"/>
    <col min="8966" max="8966" width="9.83203125" style="869" customWidth="1"/>
    <col min="8967" max="8967" width="15.33203125" style="869" bestFit="1" customWidth="1"/>
    <col min="8968" max="8968" width="12.1640625" style="869" bestFit="1" customWidth="1"/>
    <col min="8969" max="8969" width="15.33203125" style="869" bestFit="1" customWidth="1"/>
    <col min="8970" max="8970" width="18" style="869" bestFit="1" customWidth="1"/>
    <col min="8971" max="8971" width="13.6640625" style="869" bestFit="1" customWidth="1"/>
    <col min="8972" max="8974" width="0" style="869" hidden="1" customWidth="1"/>
    <col min="8975" max="8975" width="13.5" style="869" bestFit="1" customWidth="1"/>
    <col min="8976" max="8976" width="0" style="869" hidden="1" customWidth="1"/>
    <col min="8977" max="8977" width="18" style="869" bestFit="1" customWidth="1"/>
    <col min="8978" max="8978" width="13.5" style="869" bestFit="1" customWidth="1"/>
    <col min="8979" max="9216" width="12.5" style="869"/>
    <col min="9217" max="9217" width="9.6640625" style="869" customWidth="1"/>
    <col min="9218" max="9219" width="11.83203125" style="869" customWidth="1"/>
    <col min="9220" max="9220" width="6.6640625" style="869" customWidth="1"/>
    <col min="9221" max="9221" width="54.6640625" style="869" customWidth="1"/>
    <col min="9222" max="9222" width="9.83203125" style="869" customWidth="1"/>
    <col min="9223" max="9223" width="15.33203125" style="869" bestFit="1" customWidth="1"/>
    <col min="9224" max="9224" width="12.1640625" style="869" bestFit="1" customWidth="1"/>
    <col min="9225" max="9225" width="15.33203125" style="869" bestFit="1" customWidth="1"/>
    <col min="9226" max="9226" width="18" style="869" bestFit="1" customWidth="1"/>
    <col min="9227" max="9227" width="13.6640625" style="869" bestFit="1" customWidth="1"/>
    <col min="9228" max="9230" width="0" style="869" hidden="1" customWidth="1"/>
    <col min="9231" max="9231" width="13.5" style="869" bestFit="1" customWidth="1"/>
    <col min="9232" max="9232" width="0" style="869" hidden="1" customWidth="1"/>
    <col min="9233" max="9233" width="18" style="869" bestFit="1" customWidth="1"/>
    <col min="9234" max="9234" width="13.5" style="869" bestFit="1" customWidth="1"/>
    <col min="9235" max="9472" width="12.5" style="869"/>
    <col min="9473" max="9473" width="9.6640625" style="869" customWidth="1"/>
    <col min="9474" max="9475" width="11.83203125" style="869" customWidth="1"/>
    <col min="9476" max="9476" width="6.6640625" style="869" customWidth="1"/>
    <col min="9477" max="9477" width="54.6640625" style="869" customWidth="1"/>
    <col min="9478" max="9478" width="9.83203125" style="869" customWidth="1"/>
    <col min="9479" max="9479" width="15.33203125" style="869" bestFit="1" customWidth="1"/>
    <col min="9480" max="9480" width="12.1640625" style="869" bestFit="1" customWidth="1"/>
    <col min="9481" max="9481" width="15.33203125" style="869" bestFit="1" customWidth="1"/>
    <col min="9482" max="9482" width="18" style="869" bestFit="1" customWidth="1"/>
    <col min="9483" max="9483" width="13.6640625" style="869" bestFit="1" customWidth="1"/>
    <col min="9484" max="9486" width="0" style="869" hidden="1" customWidth="1"/>
    <col min="9487" max="9487" width="13.5" style="869" bestFit="1" customWidth="1"/>
    <col min="9488" max="9488" width="0" style="869" hidden="1" customWidth="1"/>
    <col min="9489" max="9489" width="18" style="869" bestFit="1" customWidth="1"/>
    <col min="9490" max="9490" width="13.5" style="869" bestFit="1" customWidth="1"/>
    <col min="9491" max="9728" width="12.5" style="869"/>
    <col min="9729" max="9729" width="9.6640625" style="869" customWidth="1"/>
    <col min="9730" max="9731" width="11.83203125" style="869" customWidth="1"/>
    <col min="9732" max="9732" width="6.6640625" style="869" customWidth="1"/>
    <col min="9733" max="9733" width="54.6640625" style="869" customWidth="1"/>
    <col min="9734" max="9734" width="9.83203125" style="869" customWidth="1"/>
    <col min="9735" max="9735" width="15.33203125" style="869" bestFit="1" customWidth="1"/>
    <col min="9736" max="9736" width="12.1640625" style="869" bestFit="1" customWidth="1"/>
    <col min="9737" max="9737" width="15.33203125" style="869" bestFit="1" customWidth="1"/>
    <col min="9738" max="9738" width="18" style="869" bestFit="1" customWidth="1"/>
    <col min="9739" max="9739" width="13.6640625" style="869" bestFit="1" customWidth="1"/>
    <col min="9740" max="9742" width="0" style="869" hidden="1" customWidth="1"/>
    <col min="9743" max="9743" width="13.5" style="869" bestFit="1" customWidth="1"/>
    <col min="9744" max="9744" width="0" style="869" hidden="1" customWidth="1"/>
    <col min="9745" max="9745" width="18" style="869" bestFit="1" customWidth="1"/>
    <col min="9746" max="9746" width="13.5" style="869" bestFit="1" customWidth="1"/>
    <col min="9747" max="9984" width="12.5" style="869"/>
    <col min="9985" max="9985" width="9.6640625" style="869" customWidth="1"/>
    <col min="9986" max="9987" width="11.83203125" style="869" customWidth="1"/>
    <col min="9988" max="9988" width="6.6640625" style="869" customWidth="1"/>
    <col min="9989" max="9989" width="54.6640625" style="869" customWidth="1"/>
    <col min="9990" max="9990" width="9.83203125" style="869" customWidth="1"/>
    <col min="9991" max="9991" width="15.33203125" style="869" bestFit="1" customWidth="1"/>
    <col min="9992" max="9992" width="12.1640625" style="869" bestFit="1" customWidth="1"/>
    <col min="9993" max="9993" width="15.33203125" style="869" bestFit="1" customWidth="1"/>
    <col min="9994" max="9994" width="18" style="869" bestFit="1" customWidth="1"/>
    <col min="9995" max="9995" width="13.6640625" style="869" bestFit="1" customWidth="1"/>
    <col min="9996" max="9998" width="0" style="869" hidden="1" customWidth="1"/>
    <col min="9999" max="9999" width="13.5" style="869" bestFit="1" customWidth="1"/>
    <col min="10000" max="10000" width="0" style="869" hidden="1" customWidth="1"/>
    <col min="10001" max="10001" width="18" style="869" bestFit="1" customWidth="1"/>
    <col min="10002" max="10002" width="13.5" style="869" bestFit="1" customWidth="1"/>
    <col min="10003" max="10240" width="12.5" style="869"/>
    <col min="10241" max="10241" width="9.6640625" style="869" customWidth="1"/>
    <col min="10242" max="10243" width="11.83203125" style="869" customWidth="1"/>
    <col min="10244" max="10244" width="6.6640625" style="869" customWidth="1"/>
    <col min="10245" max="10245" width="54.6640625" style="869" customWidth="1"/>
    <col min="10246" max="10246" width="9.83203125" style="869" customWidth="1"/>
    <col min="10247" max="10247" width="15.33203125" style="869" bestFit="1" customWidth="1"/>
    <col min="10248" max="10248" width="12.1640625" style="869" bestFit="1" customWidth="1"/>
    <col min="10249" max="10249" width="15.33203125" style="869" bestFit="1" customWidth="1"/>
    <col min="10250" max="10250" width="18" style="869" bestFit="1" customWidth="1"/>
    <col min="10251" max="10251" width="13.6640625" style="869" bestFit="1" customWidth="1"/>
    <col min="10252" max="10254" width="0" style="869" hidden="1" customWidth="1"/>
    <col min="10255" max="10255" width="13.5" style="869" bestFit="1" customWidth="1"/>
    <col min="10256" max="10256" width="0" style="869" hidden="1" customWidth="1"/>
    <col min="10257" max="10257" width="18" style="869" bestFit="1" customWidth="1"/>
    <col min="10258" max="10258" width="13.5" style="869" bestFit="1" customWidth="1"/>
    <col min="10259" max="10496" width="12.5" style="869"/>
    <col min="10497" max="10497" width="9.6640625" style="869" customWidth="1"/>
    <col min="10498" max="10499" width="11.83203125" style="869" customWidth="1"/>
    <col min="10500" max="10500" width="6.6640625" style="869" customWidth="1"/>
    <col min="10501" max="10501" width="54.6640625" style="869" customWidth="1"/>
    <col min="10502" max="10502" width="9.83203125" style="869" customWidth="1"/>
    <col min="10503" max="10503" width="15.33203125" style="869" bestFit="1" customWidth="1"/>
    <col min="10504" max="10504" width="12.1640625" style="869" bestFit="1" customWidth="1"/>
    <col min="10505" max="10505" width="15.33203125" style="869" bestFit="1" customWidth="1"/>
    <col min="10506" max="10506" width="18" style="869" bestFit="1" customWidth="1"/>
    <col min="10507" max="10507" width="13.6640625" style="869" bestFit="1" customWidth="1"/>
    <col min="10508" max="10510" width="0" style="869" hidden="1" customWidth="1"/>
    <col min="10511" max="10511" width="13.5" style="869" bestFit="1" customWidth="1"/>
    <col min="10512" max="10512" width="0" style="869" hidden="1" customWidth="1"/>
    <col min="10513" max="10513" width="18" style="869" bestFit="1" customWidth="1"/>
    <col min="10514" max="10514" width="13.5" style="869" bestFit="1" customWidth="1"/>
    <col min="10515" max="10752" width="12.5" style="869"/>
    <col min="10753" max="10753" width="9.6640625" style="869" customWidth="1"/>
    <col min="10754" max="10755" width="11.83203125" style="869" customWidth="1"/>
    <col min="10756" max="10756" width="6.6640625" style="869" customWidth="1"/>
    <col min="10757" max="10757" width="54.6640625" style="869" customWidth="1"/>
    <col min="10758" max="10758" width="9.83203125" style="869" customWidth="1"/>
    <col min="10759" max="10759" width="15.33203125" style="869" bestFit="1" customWidth="1"/>
    <col min="10760" max="10760" width="12.1640625" style="869" bestFit="1" customWidth="1"/>
    <col min="10761" max="10761" width="15.33203125" style="869" bestFit="1" customWidth="1"/>
    <col min="10762" max="10762" width="18" style="869" bestFit="1" customWidth="1"/>
    <col min="10763" max="10763" width="13.6640625" style="869" bestFit="1" customWidth="1"/>
    <col min="10764" max="10766" width="0" style="869" hidden="1" customWidth="1"/>
    <col min="10767" max="10767" width="13.5" style="869" bestFit="1" customWidth="1"/>
    <col min="10768" max="10768" width="0" style="869" hidden="1" customWidth="1"/>
    <col min="10769" max="10769" width="18" style="869" bestFit="1" customWidth="1"/>
    <col min="10770" max="10770" width="13.5" style="869" bestFit="1" customWidth="1"/>
    <col min="10771" max="11008" width="12.5" style="869"/>
    <col min="11009" max="11009" width="9.6640625" style="869" customWidth="1"/>
    <col min="11010" max="11011" width="11.83203125" style="869" customWidth="1"/>
    <col min="11012" max="11012" width="6.6640625" style="869" customWidth="1"/>
    <col min="11013" max="11013" width="54.6640625" style="869" customWidth="1"/>
    <col min="11014" max="11014" width="9.83203125" style="869" customWidth="1"/>
    <col min="11015" max="11015" width="15.33203125" style="869" bestFit="1" customWidth="1"/>
    <col min="11016" max="11016" width="12.1640625" style="869" bestFit="1" customWidth="1"/>
    <col min="11017" max="11017" width="15.33203125" style="869" bestFit="1" customWidth="1"/>
    <col min="11018" max="11018" width="18" style="869" bestFit="1" customWidth="1"/>
    <col min="11019" max="11019" width="13.6640625" style="869" bestFit="1" customWidth="1"/>
    <col min="11020" max="11022" width="0" style="869" hidden="1" customWidth="1"/>
    <col min="11023" max="11023" width="13.5" style="869" bestFit="1" customWidth="1"/>
    <col min="11024" max="11024" width="0" style="869" hidden="1" customWidth="1"/>
    <col min="11025" max="11025" width="18" style="869" bestFit="1" customWidth="1"/>
    <col min="11026" max="11026" width="13.5" style="869" bestFit="1" customWidth="1"/>
    <col min="11027" max="11264" width="12.5" style="869"/>
    <col min="11265" max="11265" width="9.6640625" style="869" customWidth="1"/>
    <col min="11266" max="11267" width="11.83203125" style="869" customWidth="1"/>
    <col min="11268" max="11268" width="6.6640625" style="869" customWidth="1"/>
    <col min="11269" max="11269" width="54.6640625" style="869" customWidth="1"/>
    <col min="11270" max="11270" width="9.83203125" style="869" customWidth="1"/>
    <col min="11271" max="11271" width="15.33203125" style="869" bestFit="1" customWidth="1"/>
    <col min="11272" max="11272" width="12.1640625" style="869" bestFit="1" customWidth="1"/>
    <col min="11273" max="11273" width="15.33203125" style="869" bestFit="1" customWidth="1"/>
    <col min="11274" max="11274" width="18" style="869" bestFit="1" customWidth="1"/>
    <col min="11275" max="11275" width="13.6640625" style="869" bestFit="1" customWidth="1"/>
    <col min="11276" max="11278" width="0" style="869" hidden="1" customWidth="1"/>
    <col min="11279" max="11279" width="13.5" style="869" bestFit="1" customWidth="1"/>
    <col min="11280" max="11280" width="0" style="869" hidden="1" customWidth="1"/>
    <col min="11281" max="11281" width="18" style="869" bestFit="1" customWidth="1"/>
    <col min="11282" max="11282" width="13.5" style="869" bestFit="1" customWidth="1"/>
    <col min="11283" max="11520" width="12.5" style="869"/>
    <col min="11521" max="11521" width="9.6640625" style="869" customWidth="1"/>
    <col min="11522" max="11523" width="11.83203125" style="869" customWidth="1"/>
    <col min="11524" max="11524" width="6.6640625" style="869" customWidth="1"/>
    <col min="11525" max="11525" width="54.6640625" style="869" customWidth="1"/>
    <col min="11526" max="11526" width="9.83203125" style="869" customWidth="1"/>
    <col min="11527" max="11527" width="15.33203125" style="869" bestFit="1" customWidth="1"/>
    <col min="11528" max="11528" width="12.1640625" style="869" bestFit="1" customWidth="1"/>
    <col min="11529" max="11529" width="15.33203125" style="869" bestFit="1" customWidth="1"/>
    <col min="11530" max="11530" width="18" style="869" bestFit="1" customWidth="1"/>
    <col min="11531" max="11531" width="13.6640625" style="869" bestFit="1" customWidth="1"/>
    <col min="11532" max="11534" width="0" style="869" hidden="1" customWidth="1"/>
    <col min="11535" max="11535" width="13.5" style="869" bestFit="1" customWidth="1"/>
    <col min="11536" max="11536" width="0" style="869" hidden="1" customWidth="1"/>
    <col min="11537" max="11537" width="18" style="869" bestFit="1" customWidth="1"/>
    <col min="11538" max="11538" width="13.5" style="869" bestFit="1" customWidth="1"/>
    <col min="11539" max="11776" width="12.5" style="869"/>
    <col min="11777" max="11777" width="9.6640625" style="869" customWidth="1"/>
    <col min="11778" max="11779" width="11.83203125" style="869" customWidth="1"/>
    <col min="11780" max="11780" width="6.6640625" style="869" customWidth="1"/>
    <col min="11781" max="11781" width="54.6640625" style="869" customWidth="1"/>
    <col min="11782" max="11782" width="9.83203125" style="869" customWidth="1"/>
    <col min="11783" max="11783" width="15.33203125" style="869" bestFit="1" customWidth="1"/>
    <col min="11784" max="11784" width="12.1640625" style="869" bestFit="1" customWidth="1"/>
    <col min="11785" max="11785" width="15.33203125" style="869" bestFit="1" customWidth="1"/>
    <col min="11786" max="11786" width="18" style="869" bestFit="1" customWidth="1"/>
    <col min="11787" max="11787" width="13.6640625" style="869" bestFit="1" customWidth="1"/>
    <col min="11788" max="11790" width="0" style="869" hidden="1" customWidth="1"/>
    <col min="11791" max="11791" width="13.5" style="869" bestFit="1" customWidth="1"/>
    <col min="11792" max="11792" width="0" style="869" hidden="1" customWidth="1"/>
    <col min="11793" max="11793" width="18" style="869" bestFit="1" customWidth="1"/>
    <col min="11794" max="11794" width="13.5" style="869" bestFit="1" customWidth="1"/>
    <col min="11795" max="12032" width="12.5" style="869"/>
    <col min="12033" max="12033" width="9.6640625" style="869" customWidth="1"/>
    <col min="12034" max="12035" width="11.83203125" style="869" customWidth="1"/>
    <col min="12036" max="12036" width="6.6640625" style="869" customWidth="1"/>
    <col min="12037" max="12037" width="54.6640625" style="869" customWidth="1"/>
    <col min="12038" max="12038" width="9.83203125" style="869" customWidth="1"/>
    <col min="12039" max="12039" width="15.33203125" style="869" bestFit="1" customWidth="1"/>
    <col min="12040" max="12040" width="12.1640625" style="869" bestFit="1" customWidth="1"/>
    <col min="12041" max="12041" width="15.33203125" style="869" bestFit="1" customWidth="1"/>
    <col min="12042" max="12042" width="18" style="869" bestFit="1" customWidth="1"/>
    <col min="12043" max="12043" width="13.6640625" style="869" bestFit="1" customWidth="1"/>
    <col min="12044" max="12046" width="0" style="869" hidden="1" customWidth="1"/>
    <col min="12047" max="12047" width="13.5" style="869" bestFit="1" customWidth="1"/>
    <col min="12048" max="12048" width="0" style="869" hidden="1" customWidth="1"/>
    <col min="12049" max="12049" width="18" style="869" bestFit="1" customWidth="1"/>
    <col min="12050" max="12050" width="13.5" style="869" bestFit="1" customWidth="1"/>
    <col min="12051" max="12288" width="12.5" style="869"/>
    <col min="12289" max="12289" width="9.6640625" style="869" customWidth="1"/>
    <col min="12290" max="12291" width="11.83203125" style="869" customWidth="1"/>
    <col min="12292" max="12292" width="6.6640625" style="869" customWidth="1"/>
    <col min="12293" max="12293" width="54.6640625" style="869" customWidth="1"/>
    <col min="12294" max="12294" width="9.83203125" style="869" customWidth="1"/>
    <col min="12295" max="12295" width="15.33203125" style="869" bestFit="1" customWidth="1"/>
    <col min="12296" max="12296" width="12.1640625" style="869" bestFit="1" customWidth="1"/>
    <col min="12297" max="12297" width="15.33203125" style="869" bestFit="1" customWidth="1"/>
    <col min="12298" max="12298" width="18" style="869" bestFit="1" customWidth="1"/>
    <col min="12299" max="12299" width="13.6640625" style="869" bestFit="1" customWidth="1"/>
    <col min="12300" max="12302" width="0" style="869" hidden="1" customWidth="1"/>
    <col min="12303" max="12303" width="13.5" style="869" bestFit="1" customWidth="1"/>
    <col min="12304" max="12304" width="0" style="869" hidden="1" customWidth="1"/>
    <col min="12305" max="12305" width="18" style="869" bestFit="1" customWidth="1"/>
    <col min="12306" max="12306" width="13.5" style="869" bestFit="1" customWidth="1"/>
    <col min="12307" max="12544" width="12.5" style="869"/>
    <col min="12545" max="12545" width="9.6640625" style="869" customWidth="1"/>
    <col min="12546" max="12547" width="11.83203125" style="869" customWidth="1"/>
    <col min="12548" max="12548" width="6.6640625" style="869" customWidth="1"/>
    <col min="12549" max="12549" width="54.6640625" style="869" customWidth="1"/>
    <col min="12550" max="12550" width="9.83203125" style="869" customWidth="1"/>
    <col min="12551" max="12551" width="15.33203125" style="869" bestFit="1" customWidth="1"/>
    <col min="12552" max="12552" width="12.1640625" style="869" bestFit="1" customWidth="1"/>
    <col min="12553" max="12553" width="15.33203125" style="869" bestFit="1" customWidth="1"/>
    <col min="12554" max="12554" width="18" style="869" bestFit="1" customWidth="1"/>
    <col min="12555" max="12555" width="13.6640625" style="869" bestFit="1" customWidth="1"/>
    <col min="12556" max="12558" width="0" style="869" hidden="1" customWidth="1"/>
    <col min="12559" max="12559" width="13.5" style="869" bestFit="1" customWidth="1"/>
    <col min="12560" max="12560" width="0" style="869" hidden="1" customWidth="1"/>
    <col min="12561" max="12561" width="18" style="869" bestFit="1" customWidth="1"/>
    <col min="12562" max="12562" width="13.5" style="869" bestFit="1" customWidth="1"/>
    <col min="12563" max="12800" width="12.5" style="869"/>
    <col min="12801" max="12801" width="9.6640625" style="869" customWidth="1"/>
    <col min="12802" max="12803" width="11.83203125" style="869" customWidth="1"/>
    <col min="12804" max="12804" width="6.6640625" style="869" customWidth="1"/>
    <col min="12805" max="12805" width="54.6640625" style="869" customWidth="1"/>
    <col min="12806" max="12806" width="9.83203125" style="869" customWidth="1"/>
    <col min="12807" max="12807" width="15.33203125" style="869" bestFit="1" customWidth="1"/>
    <col min="12808" max="12808" width="12.1640625" style="869" bestFit="1" customWidth="1"/>
    <col min="12809" max="12809" width="15.33203125" style="869" bestFit="1" customWidth="1"/>
    <col min="12810" max="12810" width="18" style="869" bestFit="1" customWidth="1"/>
    <col min="12811" max="12811" width="13.6640625" style="869" bestFit="1" customWidth="1"/>
    <col min="12812" max="12814" width="0" style="869" hidden="1" customWidth="1"/>
    <col min="12815" max="12815" width="13.5" style="869" bestFit="1" customWidth="1"/>
    <col min="12816" max="12816" width="0" style="869" hidden="1" customWidth="1"/>
    <col min="12817" max="12817" width="18" style="869" bestFit="1" customWidth="1"/>
    <col min="12818" max="12818" width="13.5" style="869" bestFit="1" customWidth="1"/>
    <col min="12819" max="13056" width="12.5" style="869"/>
    <col min="13057" max="13057" width="9.6640625" style="869" customWidth="1"/>
    <col min="13058" max="13059" width="11.83203125" style="869" customWidth="1"/>
    <col min="13060" max="13060" width="6.6640625" style="869" customWidth="1"/>
    <col min="13061" max="13061" width="54.6640625" style="869" customWidth="1"/>
    <col min="13062" max="13062" width="9.83203125" style="869" customWidth="1"/>
    <col min="13063" max="13063" width="15.33203125" style="869" bestFit="1" customWidth="1"/>
    <col min="13064" max="13064" width="12.1640625" style="869" bestFit="1" customWidth="1"/>
    <col min="13065" max="13065" width="15.33203125" style="869" bestFit="1" customWidth="1"/>
    <col min="13066" max="13066" width="18" style="869" bestFit="1" customWidth="1"/>
    <col min="13067" max="13067" width="13.6640625" style="869" bestFit="1" customWidth="1"/>
    <col min="13068" max="13070" width="0" style="869" hidden="1" customWidth="1"/>
    <col min="13071" max="13071" width="13.5" style="869" bestFit="1" customWidth="1"/>
    <col min="13072" max="13072" width="0" style="869" hidden="1" customWidth="1"/>
    <col min="13073" max="13073" width="18" style="869" bestFit="1" customWidth="1"/>
    <col min="13074" max="13074" width="13.5" style="869" bestFit="1" customWidth="1"/>
    <col min="13075" max="13312" width="12.5" style="869"/>
    <col min="13313" max="13313" width="9.6640625" style="869" customWidth="1"/>
    <col min="13314" max="13315" width="11.83203125" style="869" customWidth="1"/>
    <col min="13316" max="13316" width="6.6640625" style="869" customWidth="1"/>
    <col min="13317" max="13317" width="54.6640625" style="869" customWidth="1"/>
    <col min="13318" max="13318" width="9.83203125" style="869" customWidth="1"/>
    <col min="13319" max="13319" width="15.33203125" style="869" bestFit="1" customWidth="1"/>
    <col min="13320" max="13320" width="12.1640625" style="869" bestFit="1" customWidth="1"/>
    <col min="13321" max="13321" width="15.33203125" style="869" bestFit="1" customWidth="1"/>
    <col min="13322" max="13322" width="18" style="869" bestFit="1" customWidth="1"/>
    <col min="13323" max="13323" width="13.6640625" style="869" bestFit="1" customWidth="1"/>
    <col min="13324" max="13326" width="0" style="869" hidden="1" customWidth="1"/>
    <col min="13327" max="13327" width="13.5" style="869" bestFit="1" customWidth="1"/>
    <col min="13328" max="13328" width="0" style="869" hidden="1" customWidth="1"/>
    <col min="13329" max="13329" width="18" style="869" bestFit="1" customWidth="1"/>
    <col min="13330" max="13330" width="13.5" style="869" bestFit="1" customWidth="1"/>
    <col min="13331" max="13568" width="12.5" style="869"/>
    <col min="13569" max="13569" width="9.6640625" style="869" customWidth="1"/>
    <col min="13570" max="13571" width="11.83203125" style="869" customWidth="1"/>
    <col min="13572" max="13572" width="6.6640625" style="869" customWidth="1"/>
    <col min="13573" max="13573" width="54.6640625" style="869" customWidth="1"/>
    <col min="13574" max="13574" width="9.83203125" style="869" customWidth="1"/>
    <col min="13575" max="13575" width="15.33203125" style="869" bestFit="1" customWidth="1"/>
    <col min="13576" max="13576" width="12.1640625" style="869" bestFit="1" customWidth="1"/>
    <col min="13577" max="13577" width="15.33203125" style="869" bestFit="1" customWidth="1"/>
    <col min="13578" max="13578" width="18" style="869" bestFit="1" customWidth="1"/>
    <col min="13579" max="13579" width="13.6640625" style="869" bestFit="1" customWidth="1"/>
    <col min="13580" max="13582" width="0" style="869" hidden="1" customWidth="1"/>
    <col min="13583" max="13583" width="13.5" style="869" bestFit="1" customWidth="1"/>
    <col min="13584" max="13584" width="0" style="869" hidden="1" customWidth="1"/>
    <col min="13585" max="13585" width="18" style="869" bestFit="1" customWidth="1"/>
    <col min="13586" max="13586" width="13.5" style="869" bestFit="1" customWidth="1"/>
    <col min="13587" max="13824" width="12.5" style="869"/>
    <col min="13825" max="13825" width="9.6640625" style="869" customWidth="1"/>
    <col min="13826" max="13827" width="11.83203125" style="869" customWidth="1"/>
    <col min="13828" max="13828" width="6.6640625" style="869" customWidth="1"/>
    <col min="13829" max="13829" width="54.6640625" style="869" customWidth="1"/>
    <col min="13830" max="13830" width="9.83203125" style="869" customWidth="1"/>
    <col min="13831" max="13831" width="15.33203125" style="869" bestFit="1" customWidth="1"/>
    <col min="13832" max="13832" width="12.1640625" style="869" bestFit="1" customWidth="1"/>
    <col min="13833" max="13833" width="15.33203125" style="869" bestFit="1" customWidth="1"/>
    <col min="13834" max="13834" width="18" style="869" bestFit="1" customWidth="1"/>
    <col min="13835" max="13835" width="13.6640625" style="869" bestFit="1" customWidth="1"/>
    <col min="13836" max="13838" width="0" style="869" hidden="1" customWidth="1"/>
    <col min="13839" max="13839" width="13.5" style="869" bestFit="1" customWidth="1"/>
    <col min="13840" max="13840" width="0" style="869" hidden="1" customWidth="1"/>
    <col min="13841" max="13841" width="18" style="869" bestFit="1" customWidth="1"/>
    <col min="13842" max="13842" width="13.5" style="869" bestFit="1" customWidth="1"/>
    <col min="13843" max="14080" width="12.5" style="869"/>
    <col min="14081" max="14081" width="9.6640625" style="869" customWidth="1"/>
    <col min="14082" max="14083" width="11.83203125" style="869" customWidth="1"/>
    <col min="14084" max="14084" width="6.6640625" style="869" customWidth="1"/>
    <col min="14085" max="14085" width="54.6640625" style="869" customWidth="1"/>
    <col min="14086" max="14086" width="9.83203125" style="869" customWidth="1"/>
    <col min="14087" max="14087" width="15.33203125" style="869" bestFit="1" customWidth="1"/>
    <col min="14088" max="14088" width="12.1640625" style="869" bestFit="1" customWidth="1"/>
    <col min="14089" max="14089" width="15.33203125" style="869" bestFit="1" customWidth="1"/>
    <col min="14090" max="14090" width="18" style="869" bestFit="1" customWidth="1"/>
    <col min="14091" max="14091" width="13.6640625" style="869" bestFit="1" customWidth="1"/>
    <col min="14092" max="14094" width="0" style="869" hidden="1" customWidth="1"/>
    <col min="14095" max="14095" width="13.5" style="869" bestFit="1" customWidth="1"/>
    <col min="14096" max="14096" width="0" style="869" hidden="1" customWidth="1"/>
    <col min="14097" max="14097" width="18" style="869" bestFit="1" customWidth="1"/>
    <col min="14098" max="14098" width="13.5" style="869" bestFit="1" customWidth="1"/>
    <col min="14099" max="14336" width="12.5" style="869"/>
    <col min="14337" max="14337" width="9.6640625" style="869" customWidth="1"/>
    <col min="14338" max="14339" width="11.83203125" style="869" customWidth="1"/>
    <col min="14340" max="14340" width="6.6640625" style="869" customWidth="1"/>
    <col min="14341" max="14341" width="54.6640625" style="869" customWidth="1"/>
    <col min="14342" max="14342" width="9.83203125" style="869" customWidth="1"/>
    <col min="14343" max="14343" width="15.33203125" style="869" bestFit="1" customWidth="1"/>
    <col min="14344" max="14344" width="12.1640625" style="869" bestFit="1" customWidth="1"/>
    <col min="14345" max="14345" width="15.33203125" style="869" bestFit="1" customWidth="1"/>
    <col min="14346" max="14346" width="18" style="869" bestFit="1" customWidth="1"/>
    <col min="14347" max="14347" width="13.6640625" style="869" bestFit="1" customWidth="1"/>
    <col min="14348" max="14350" width="0" style="869" hidden="1" customWidth="1"/>
    <col min="14351" max="14351" width="13.5" style="869" bestFit="1" customWidth="1"/>
    <col min="14352" max="14352" width="0" style="869" hidden="1" customWidth="1"/>
    <col min="14353" max="14353" width="18" style="869" bestFit="1" customWidth="1"/>
    <col min="14354" max="14354" width="13.5" style="869" bestFit="1" customWidth="1"/>
    <col min="14355" max="14592" width="12.5" style="869"/>
    <col min="14593" max="14593" width="9.6640625" style="869" customWidth="1"/>
    <col min="14594" max="14595" width="11.83203125" style="869" customWidth="1"/>
    <col min="14596" max="14596" width="6.6640625" style="869" customWidth="1"/>
    <col min="14597" max="14597" width="54.6640625" style="869" customWidth="1"/>
    <col min="14598" max="14598" width="9.83203125" style="869" customWidth="1"/>
    <col min="14599" max="14599" width="15.33203125" style="869" bestFit="1" customWidth="1"/>
    <col min="14600" max="14600" width="12.1640625" style="869" bestFit="1" customWidth="1"/>
    <col min="14601" max="14601" width="15.33203125" style="869" bestFit="1" customWidth="1"/>
    <col min="14602" max="14602" width="18" style="869" bestFit="1" customWidth="1"/>
    <col min="14603" max="14603" width="13.6640625" style="869" bestFit="1" customWidth="1"/>
    <col min="14604" max="14606" width="0" style="869" hidden="1" customWidth="1"/>
    <col min="14607" max="14607" width="13.5" style="869" bestFit="1" customWidth="1"/>
    <col min="14608" max="14608" width="0" style="869" hidden="1" customWidth="1"/>
    <col min="14609" max="14609" width="18" style="869" bestFit="1" customWidth="1"/>
    <col min="14610" max="14610" width="13.5" style="869" bestFit="1" customWidth="1"/>
    <col min="14611" max="14848" width="12.5" style="869"/>
    <col min="14849" max="14849" width="9.6640625" style="869" customWidth="1"/>
    <col min="14850" max="14851" width="11.83203125" style="869" customWidth="1"/>
    <col min="14852" max="14852" width="6.6640625" style="869" customWidth="1"/>
    <col min="14853" max="14853" width="54.6640625" style="869" customWidth="1"/>
    <col min="14854" max="14854" width="9.83203125" style="869" customWidth="1"/>
    <col min="14855" max="14855" width="15.33203125" style="869" bestFit="1" customWidth="1"/>
    <col min="14856" max="14856" width="12.1640625" style="869" bestFit="1" customWidth="1"/>
    <col min="14857" max="14857" width="15.33203125" style="869" bestFit="1" customWidth="1"/>
    <col min="14858" max="14858" width="18" style="869" bestFit="1" customWidth="1"/>
    <col min="14859" max="14859" width="13.6640625" style="869" bestFit="1" customWidth="1"/>
    <col min="14860" max="14862" width="0" style="869" hidden="1" customWidth="1"/>
    <col min="14863" max="14863" width="13.5" style="869" bestFit="1" customWidth="1"/>
    <col min="14864" max="14864" width="0" style="869" hidden="1" customWidth="1"/>
    <col min="14865" max="14865" width="18" style="869" bestFit="1" customWidth="1"/>
    <col min="14866" max="14866" width="13.5" style="869" bestFit="1" customWidth="1"/>
    <col min="14867" max="15104" width="12.5" style="869"/>
    <col min="15105" max="15105" width="9.6640625" style="869" customWidth="1"/>
    <col min="15106" max="15107" width="11.83203125" style="869" customWidth="1"/>
    <col min="15108" max="15108" width="6.6640625" style="869" customWidth="1"/>
    <col min="15109" max="15109" width="54.6640625" style="869" customWidth="1"/>
    <col min="15110" max="15110" width="9.83203125" style="869" customWidth="1"/>
    <col min="15111" max="15111" width="15.33203125" style="869" bestFit="1" customWidth="1"/>
    <col min="15112" max="15112" width="12.1640625" style="869" bestFit="1" customWidth="1"/>
    <col min="15113" max="15113" width="15.33203125" style="869" bestFit="1" customWidth="1"/>
    <col min="15114" max="15114" width="18" style="869" bestFit="1" customWidth="1"/>
    <col min="15115" max="15115" width="13.6640625" style="869" bestFit="1" customWidth="1"/>
    <col min="15116" max="15118" width="0" style="869" hidden="1" customWidth="1"/>
    <col min="15119" max="15119" width="13.5" style="869" bestFit="1" customWidth="1"/>
    <col min="15120" max="15120" width="0" style="869" hidden="1" customWidth="1"/>
    <col min="15121" max="15121" width="18" style="869" bestFit="1" customWidth="1"/>
    <col min="15122" max="15122" width="13.5" style="869" bestFit="1" customWidth="1"/>
    <col min="15123" max="15360" width="12.5" style="869"/>
    <col min="15361" max="15361" width="9.6640625" style="869" customWidth="1"/>
    <col min="15362" max="15363" width="11.83203125" style="869" customWidth="1"/>
    <col min="15364" max="15364" width="6.6640625" style="869" customWidth="1"/>
    <col min="15365" max="15365" width="54.6640625" style="869" customWidth="1"/>
    <col min="15366" max="15366" width="9.83203125" style="869" customWidth="1"/>
    <col min="15367" max="15367" width="15.33203125" style="869" bestFit="1" customWidth="1"/>
    <col min="15368" max="15368" width="12.1640625" style="869" bestFit="1" customWidth="1"/>
    <col min="15369" max="15369" width="15.33203125" style="869" bestFit="1" customWidth="1"/>
    <col min="15370" max="15370" width="18" style="869" bestFit="1" customWidth="1"/>
    <col min="15371" max="15371" width="13.6640625" style="869" bestFit="1" customWidth="1"/>
    <col min="15372" max="15374" width="0" style="869" hidden="1" customWidth="1"/>
    <col min="15375" max="15375" width="13.5" style="869" bestFit="1" customWidth="1"/>
    <col min="15376" max="15376" width="0" style="869" hidden="1" customWidth="1"/>
    <col min="15377" max="15377" width="18" style="869" bestFit="1" customWidth="1"/>
    <col min="15378" max="15378" width="13.5" style="869" bestFit="1" customWidth="1"/>
    <col min="15379" max="15616" width="12.5" style="869"/>
    <col min="15617" max="15617" width="9.6640625" style="869" customWidth="1"/>
    <col min="15618" max="15619" width="11.83203125" style="869" customWidth="1"/>
    <col min="15620" max="15620" width="6.6640625" style="869" customWidth="1"/>
    <col min="15621" max="15621" width="54.6640625" style="869" customWidth="1"/>
    <col min="15622" max="15622" width="9.83203125" style="869" customWidth="1"/>
    <col min="15623" max="15623" width="15.33203125" style="869" bestFit="1" customWidth="1"/>
    <col min="15624" max="15624" width="12.1640625" style="869" bestFit="1" customWidth="1"/>
    <col min="15625" max="15625" width="15.33203125" style="869" bestFit="1" customWidth="1"/>
    <col min="15626" max="15626" width="18" style="869" bestFit="1" customWidth="1"/>
    <col min="15627" max="15627" width="13.6640625" style="869" bestFit="1" customWidth="1"/>
    <col min="15628" max="15630" width="0" style="869" hidden="1" customWidth="1"/>
    <col min="15631" max="15631" width="13.5" style="869" bestFit="1" customWidth="1"/>
    <col min="15632" max="15632" width="0" style="869" hidden="1" customWidth="1"/>
    <col min="15633" max="15633" width="18" style="869" bestFit="1" customWidth="1"/>
    <col min="15634" max="15634" width="13.5" style="869" bestFit="1" customWidth="1"/>
    <col min="15635" max="15872" width="12.5" style="869"/>
    <col min="15873" max="15873" width="9.6640625" style="869" customWidth="1"/>
    <col min="15874" max="15875" width="11.83203125" style="869" customWidth="1"/>
    <col min="15876" max="15876" width="6.6640625" style="869" customWidth="1"/>
    <col min="15877" max="15877" width="54.6640625" style="869" customWidth="1"/>
    <col min="15878" max="15878" width="9.83203125" style="869" customWidth="1"/>
    <col min="15879" max="15879" width="15.33203125" style="869" bestFit="1" customWidth="1"/>
    <col min="15880" max="15880" width="12.1640625" style="869" bestFit="1" customWidth="1"/>
    <col min="15881" max="15881" width="15.33203125" style="869" bestFit="1" customWidth="1"/>
    <col min="15882" max="15882" width="18" style="869" bestFit="1" customWidth="1"/>
    <col min="15883" max="15883" width="13.6640625" style="869" bestFit="1" customWidth="1"/>
    <col min="15884" max="15886" width="0" style="869" hidden="1" customWidth="1"/>
    <col min="15887" max="15887" width="13.5" style="869" bestFit="1" customWidth="1"/>
    <col min="15888" max="15888" width="0" style="869" hidden="1" customWidth="1"/>
    <col min="15889" max="15889" width="18" style="869" bestFit="1" customWidth="1"/>
    <col min="15890" max="15890" width="13.5" style="869" bestFit="1" customWidth="1"/>
    <col min="15891" max="16128" width="12.5" style="869"/>
    <col min="16129" max="16129" width="9.6640625" style="869" customWidth="1"/>
    <col min="16130" max="16131" width="11.83203125" style="869" customWidth="1"/>
    <col min="16132" max="16132" width="6.6640625" style="869" customWidth="1"/>
    <col min="16133" max="16133" width="54.6640625" style="869" customWidth="1"/>
    <col min="16134" max="16134" width="9.83203125" style="869" customWidth="1"/>
    <col min="16135" max="16135" width="15.33203125" style="869" bestFit="1" customWidth="1"/>
    <col min="16136" max="16136" width="12.1640625" style="869" bestFit="1" customWidth="1"/>
    <col min="16137" max="16137" width="15.33203125" style="869" bestFit="1" customWidth="1"/>
    <col min="16138" max="16138" width="18" style="869" bestFit="1" customWidth="1"/>
    <col min="16139" max="16139" width="13.6640625" style="869" bestFit="1" customWidth="1"/>
    <col min="16140" max="16142" width="0" style="869" hidden="1" customWidth="1"/>
    <col min="16143" max="16143" width="13.5" style="869" bestFit="1" customWidth="1"/>
    <col min="16144" max="16144" width="0" style="869" hidden="1" customWidth="1"/>
    <col min="16145" max="16145" width="18" style="869" bestFit="1" customWidth="1"/>
    <col min="16146" max="16146" width="13.5" style="869" bestFit="1" customWidth="1"/>
    <col min="16147" max="16384" width="12.5" style="869"/>
  </cols>
  <sheetData>
    <row r="1" spans="1:18" ht="30" customHeight="1" thickBot="1">
      <c r="B1" s="368" t="s">
        <v>722</v>
      </c>
    </row>
    <row r="2" spans="1:18" s="877" customFormat="1" ht="25" customHeight="1" thickBot="1">
      <c r="A2" s="872" t="s">
        <v>723</v>
      </c>
      <c r="B2" s="873" t="s">
        <v>724</v>
      </c>
      <c r="C2" s="874" t="s">
        <v>725</v>
      </c>
      <c r="D2" s="874" t="s">
        <v>726</v>
      </c>
      <c r="E2" s="874" t="s">
        <v>727</v>
      </c>
      <c r="F2" s="874" t="s">
        <v>728</v>
      </c>
      <c r="G2" s="875" t="s">
        <v>448</v>
      </c>
      <c r="H2" s="873" t="s">
        <v>729</v>
      </c>
      <c r="I2" s="874" t="s">
        <v>730</v>
      </c>
      <c r="J2" s="874" t="s">
        <v>731</v>
      </c>
      <c r="K2" s="874" t="s">
        <v>732</v>
      </c>
      <c r="L2" s="874" t="s">
        <v>733</v>
      </c>
      <c r="M2" s="874" t="s">
        <v>734</v>
      </c>
      <c r="N2" s="874" t="s">
        <v>735</v>
      </c>
      <c r="O2" s="876" t="s">
        <v>449</v>
      </c>
      <c r="P2" s="874" t="s">
        <v>736</v>
      </c>
      <c r="Q2" s="874" t="s">
        <v>450</v>
      </c>
      <c r="R2" s="875" t="s">
        <v>451</v>
      </c>
    </row>
    <row r="3" spans="1:18" ht="18" customHeight="1">
      <c r="A3" s="1266" t="s">
        <v>737</v>
      </c>
      <c r="B3" s="1269" t="s">
        <v>738</v>
      </c>
      <c r="C3" s="1272" t="s">
        <v>739</v>
      </c>
      <c r="D3" s="878">
        <v>1</v>
      </c>
      <c r="E3" s="879" t="s">
        <v>740</v>
      </c>
      <c r="F3" s="878" t="s">
        <v>741</v>
      </c>
      <c r="G3" s="880">
        <v>16800000</v>
      </c>
      <c r="H3" s="881">
        <v>0</v>
      </c>
      <c r="I3" s="882">
        <v>16800000</v>
      </c>
      <c r="J3" s="882">
        <v>10349908</v>
      </c>
      <c r="K3" s="882">
        <v>6450092</v>
      </c>
      <c r="L3" s="883">
        <v>5</v>
      </c>
      <c r="M3" s="883">
        <v>0.45100000000000001</v>
      </c>
      <c r="N3" s="883">
        <v>12</v>
      </c>
      <c r="O3" s="884">
        <v>2908991</v>
      </c>
      <c r="P3" s="882">
        <v>0</v>
      </c>
      <c r="Q3" s="882">
        <v>13258899</v>
      </c>
      <c r="R3" s="885">
        <v>3541101</v>
      </c>
    </row>
    <row r="4" spans="1:18" ht="18" customHeight="1">
      <c r="A4" s="1267"/>
      <c r="B4" s="1270"/>
      <c r="C4" s="1273"/>
      <c r="D4" s="886">
        <v>2</v>
      </c>
      <c r="E4" s="887" t="s">
        <v>742</v>
      </c>
      <c r="F4" s="886" t="s">
        <v>743</v>
      </c>
      <c r="G4" s="888">
        <v>4450000</v>
      </c>
      <c r="H4" s="889">
        <v>0</v>
      </c>
      <c r="I4" s="890">
        <v>4450000</v>
      </c>
      <c r="J4" s="890">
        <v>2649675</v>
      </c>
      <c r="K4" s="890">
        <v>1800325</v>
      </c>
      <c r="L4" s="886">
        <v>5</v>
      </c>
      <c r="M4" s="886">
        <v>0.45100000000000001</v>
      </c>
      <c r="N4" s="886">
        <v>12</v>
      </c>
      <c r="O4" s="891">
        <v>811946</v>
      </c>
      <c r="P4" s="890">
        <v>0</v>
      </c>
      <c r="Q4" s="890">
        <v>3461621</v>
      </c>
      <c r="R4" s="888">
        <v>988379</v>
      </c>
    </row>
    <row r="5" spans="1:18" ht="18" customHeight="1">
      <c r="A5" s="1267"/>
      <c r="B5" s="1270"/>
      <c r="C5" s="1273"/>
      <c r="D5" s="886">
        <v>3</v>
      </c>
      <c r="E5" s="887" t="s">
        <v>744</v>
      </c>
      <c r="F5" s="886" t="s">
        <v>745</v>
      </c>
      <c r="G5" s="888">
        <v>3322000</v>
      </c>
      <c r="H5" s="889">
        <v>0</v>
      </c>
      <c r="I5" s="890">
        <v>3322000</v>
      </c>
      <c r="J5" s="890">
        <v>1978027</v>
      </c>
      <c r="K5" s="890">
        <v>1343973</v>
      </c>
      <c r="L5" s="886">
        <v>5</v>
      </c>
      <c r="M5" s="886">
        <v>0.45100000000000001</v>
      </c>
      <c r="N5" s="886">
        <v>12</v>
      </c>
      <c r="O5" s="891">
        <v>606131</v>
      </c>
      <c r="P5" s="890">
        <v>0</v>
      </c>
      <c r="Q5" s="890">
        <v>2584158</v>
      </c>
      <c r="R5" s="888">
        <v>737842</v>
      </c>
    </row>
    <row r="6" spans="1:18" ht="18" customHeight="1">
      <c r="A6" s="1267"/>
      <c r="B6" s="1270"/>
      <c r="C6" s="1273"/>
      <c r="D6" s="886">
        <v>4</v>
      </c>
      <c r="E6" s="887" t="s">
        <v>746</v>
      </c>
      <c r="F6" s="886" t="s">
        <v>747</v>
      </c>
      <c r="G6" s="888">
        <v>4300000</v>
      </c>
      <c r="H6" s="889">
        <v>0</v>
      </c>
      <c r="I6" s="890">
        <v>4300000</v>
      </c>
      <c r="J6" s="890">
        <v>2560360</v>
      </c>
      <c r="K6" s="890">
        <v>1739640</v>
      </c>
      <c r="L6" s="886">
        <v>5</v>
      </c>
      <c r="M6" s="886">
        <v>0.45100000000000001</v>
      </c>
      <c r="N6" s="886">
        <v>12</v>
      </c>
      <c r="O6" s="891">
        <v>784577</v>
      </c>
      <c r="P6" s="890">
        <v>0</v>
      </c>
      <c r="Q6" s="890">
        <v>3344937</v>
      </c>
      <c r="R6" s="888">
        <v>955063</v>
      </c>
    </row>
    <row r="7" spans="1:18" ht="18" customHeight="1">
      <c r="A7" s="1267"/>
      <c r="B7" s="1270"/>
      <c r="C7" s="1273"/>
      <c r="D7" s="886">
        <v>5</v>
      </c>
      <c r="E7" s="887" t="s">
        <v>748</v>
      </c>
      <c r="F7" s="886" t="s">
        <v>749</v>
      </c>
      <c r="G7" s="888">
        <v>85950000</v>
      </c>
      <c r="H7" s="889">
        <v>0</v>
      </c>
      <c r="I7" s="890">
        <v>85950000</v>
      </c>
      <c r="J7" s="890">
        <v>51177444</v>
      </c>
      <c r="K7" s="890">
        <v>34772556</v>
      </c>
      <c r="L7" s="886">
        <v>5</v>
      </c>
      <c r="M7" s="886">
        <v>0.45100000000000001</v>
      </c>
      <c r="N7" s="886">
        <v>12</v>
      </c>
      <c r="O7" s="891">
        <v>15682422</v>
      </c>
      <c r="P7" s="890">
        <v>0</v>
      </c>
      <c r="Q7" s="890">
        <v>66859866</v>
      </c>
      <c r="R7" s="888">
        <v>19090134</v>
      </c>
    </row>
    <row r="8" spans="1:18" ht="18" customHeight="1">
      <c r="A8" s="1267"/>
      <c r="B8" s="1270"/>
      <c r="C8" s="1273"/>
      <c r="D8" s="886">
        <v>6</v>
      </c>
      <c r="E8" s="887" t="s">
        <v>750</v>
      </c>
      <c r="F8" s="886" t="s">
        <v>749</v>
      </c>
      <c r="G8" s="888">
        <v>179500000</v>
      </c>
      <c r="H8" s="889">
        <v>3000000</v>
      </c>
      <c r="I8" s="890">
        <v>182500000</v>
      </c>
      <c r="J8" s="890">
        <v>106880178</v>
      </c>
      <c r="K8" s="890">
        <v>75619822</v>
      </c>
      <c r="L8" s="886">
        <v>5</v>
      </c>
      <c r="M8" s="886">
        <v>0.45100000000000001</v>
      </c>
      <c r="N8" s="886">
        <v>12</v>
      </c>
      <c r="O8" s="891">
        <v>34104539</v>
      </c>
      <c r="P8" s="890">
        <v>0</v>
      </c>
      <c r="Q8" s="890">
        <v>140984717</v>
      </c>
      <c r="R8" s="888">
        <v>41515283</v>
      </c>
    </row>
    <row r="9" spans="1:18" ht="18" customHeight="1">
      <c r="A9" s="1267"/>
      <c r="B9" s="1270"/>
      <c r="C9" s="1273"/>
      <c r="D9" s="886">
        <v>7</v>
      </c>
      <c r="E9" s="887" t="s">
        <v>751</v>
      </c>
      <c r="F9" s="886" t="s">
        <v>752</v>
      </c>
      <c r="G9" s="888">
        <v>119190909</v>
      </c>
      <c r="H9" s="889">
        <v>0</v>
      </c>
      <c r="I9" s="890">
        <v>119190909</v>
      </c>
      <c r="J9" s="890">
        <v>70970170</v>
      </c>
      <c r="K9" s="890">
        <v>48220739</v>
      </c>
      <c r="L9" s="886">
        <v>5</v>
      </c>
      <c r="M9" s="886">
        <v>0.45100000000000001</v>
      </c>
      <c r="N9" s="886">
        <v>12</v>
      </c>
      <c r="O9" s="891">
        <v>21747553</v>
      </c>
      <c r="P9" s="890">
        <v>0</v>
      </c>
      <c r="Q9" s="890">
        <v>92717723</v>
      </c>
      <c r="R9" s="888">
        <v>26473186</v>
      </c>
    </row>
    <row r="10" spans="1:18" ht="18" customHeight="1">
      <c r="A10" s="1267"/>
      <c r="B10" s="1270"/>
      <c r="C10" s="1273"/>
      <c r="D10" s="892">
        <v>8</v>
      </c>
      <c r="E10" s="893" t="s">
        <v>753</v>
      </c>
      <c r="F10" s="892" t="s">
        <v>754</v>
      </c>
      <c r="G10" s="894">
        <v>2400000</v>
      </c>
      <c r="H10" s="895">
        <v>0</v>
      </c>
      <c r="I10" s="896">
        <v>2400000</v>
      </c>
      <c r="J10" s="896">
        <v>1329999</v>
      </c>
      <c r="K10" s="896">
        <v>1070001</v>
      </c>
      <c r="L10" s="892">
        <v>5</v>
      </c>
      <c r="M10" s="892">
        <v>0.45100000000000001</v>
      </c>
      <c r="N10" s="892">
        <v>12</v>
      </c>
      <c r="O10" s="897">
        <v>482570</v>
      </c>
      <c r="P10" s="896">
        <v>0</v>
      </c>
      <c r="Q10" s="896">
        <v>1812569</v>
      </c>
      <c r="R10" s="894">
        <v>587431</v>
      </c>
    </row>
    <row r="11" spans="1:18" ht="18" customHeight="1">
      <c r="A11" s="1267"/>
      <c r="B11" s="1270"/>
      <c r="C11" s="1274"/>
      <c r="D11" s="1275" t="s">
        <v>755</v>
      </c>
      <c r="E11" s="1276"/>
      <c r="F11" s="1277"/>
      <c r="G11" s="898">
        <f>SUM(G3:G10)</f>
        <v>415912909</v>
      </c>
      <c r="H11" s="899">
        <f t="shared" ref="H11:R11" si="0">SUM(H3:H10)</f>
        <v>3000000</v>
      </c>
      <c r="I11" s="900">
        <f t="shared" si="0"/>
        <v>418912909</v>
      </c>
      <c r="J11" s="900">
        <f t="shared" si="0"/>
        <v>247895761</v>
      </c>
      <c r="K11" s="900">
        <f t="shared" si="0"/>
        <v>171017148</v>
      </c>
      <c r="L11" s="901"/>
      <c r="M11" s="901"/>
      <c r="N11" s="901"/>
      <c r="O11" s="902">
        <f t="shared" si="0"/>
        <v>77128729</v>
      </c>
      <c r="P11" s="900">
        <f t="shared" si="0"/>
        <v>0</v>
      </c>
      <c r="Q11" s="900">
        <f t="shared" si="0"/>
        <v>325024490</v>
      </c>
      <c r="R11" s="898">
        <f t="shared" si="0"/>
        <v>93888419</v>
      </c>
    </row>
    <row r="12" spans="1:18" ht="18" customHeight="1">
      <c r="A12" s="1267"/>
      <c r="B12" s="1270"/>
      <c r="C12" s="1278" t="s">
        <v>756</v>
      </c>
      <c r="D12" s="883">
        <v>9</v>
      </c>
      <c r="E12" s="903" t="s">
        <v>757</v>
      </c>
      <c r="F12" s="883" t="s">
        <v>758</v>
      </c>
      <c r="G12" s="885">
        <v>69200000</v>
      </c>
      <c r="H12" s="881">
        <v>0</v>
      </c>
      <c r="I12" s="882">
        <v>69200000</v>
      </c>
      <c r="J12" s="882">
        <v>26007666</v>
      </c>
      <c r="K12" s="882">
        <v>43192334</v>
      </c>
      <c r="L12" s="883">
        <v>5</v>
      </c>
      <c r="M12" s="883">
        <v>0.45100000000000001</v>
      </c>
      <c r="N12" s="883">
        <v>12</v>
      </c>
      <c r="O12" s="884">
        <v>19479742</v>
      </c>
      <c r="P12" s="882">
        <v>0</v>
      </c>
      <c r="Q12" s="882">
        <v>45487408</v>
      </c>
      <c r="R12" s="885">
        <v>23712592</v>
      </c>
    </row>
    <row r="13" spans="1:18" ht="18" customHeight="1">
      <c r="A13" s="1267"/>
      <c r="B13" s="1270"/>
      <c r="C13" s="1279"/>
      <c r="D13" s="886">
        <v>10</v>
      </c>
      <c r="E13" s="887" t="s">
        <v>759</v>
      </c>
      <c r="F13" s="886" t="s">
        <v>760</v>
      </c>
      <c r="G13" s="888">
        <v>8756000</v>
      </c>
      <c r="H13" s="889">
        <v>0</v>
      </c>
      <c r="I13" s="890">
        <v>8756000</v>
      </c>
      <c r="J13" s="890">
        <v>2961717</v>
      </c>
      <c r="K13" s="890">
        <v>5794283</v>
      </c>
      <c r="L13" s="886">
        <v>5</v>
      </c>
      <c r="M13" s="886">
        <v>0.45100000000000001</v>
      </c>
      <c r="N13" s="886">
        <v>12</v>
      </c>
      <c r="O13" s="891">
        <v>2613221</v>
      </c>
      <c r="P13" s="890">
        <v>0</v>
      </c>
      <c r="Q13" s="890">
        <v>5574938</v>
      </c>
      <c r="R13" s="888">
        <v>3181062</v>
      </c>
    </row>
    <row r="14" spans="1:18" ht="18" customHeight="1">
      <c r="A14" s="1267"/>
      <c r="B14" s="1270"/>
      <c r="C14" s="1279"/>
      <c r="D14" s="886">
        <v>11</v>
      </c>
      <c r="E14" s="887" t="s">
        <v>761</v>
      </c>
      <c r="F14" s="886" t="s">
        <v>762</v>
      </c>
      <c r="G14" s="888">
        <v>17300000</v>
      </c>
      <c r="H14" s="889">
        <v>0</v>
      </c>
      <c r="I14" s="890">
        <v>17300000</v>
      </c>
      <c r="J14" s="890">
        <v>5851725</v>
      </c>
      <c r="K14" s="890">
        <v>11448275</v>
      </c>
      <c r="L14" s="886">
        <v>5</v>
      </c>
      <c r="M14" s="886">
        <v>0.45100000000000001</v>
      </c>
      <c r="N14" s="886">
        <v>12</v>
      </c>
      <c r="O14" s="891">
        <v>5163172</v>
      </c>
      <c r="P14" s="890">
        <v>0</v>
      </c>
      <c r="Q14" s="890">
        <v>11014897</v>
      </c>
      <c r="R14" s="888">
        <v>6285103</v>
      </c>
    </row>
    <row r="15" spans="1:18" ht="18" customHeight="1">
      <c r="A15" s="1267"/>
      <c r="B15" s="1270"/>
      <c r="C15" s="1279"/>
      <c r="D15" s="886">
        <v>12</v>
      </c>
      <c r="E15" s="887" t="s">
        <v>763</v>
      </c>
      <c r="F15" s="886" t="s">
        <v>764</v>
      </c>
      <c r="G15" s="888">
        <v>3018182</v>
      </c>
      <c r="H15" s="889">
        <v>0</v>
      </c>
      <c r="I15" s="890">
        <v>3018182</v>
      </c>
      <c r="J15" s="890">
        <v>794033</v>
      </c>
      <c r="K15" s="890">
        <v>2224149</v>
      </c>
      <c r="L15" s="886">
        <v>5</v>
      </c>
      <c r="M15" s="886">
        <v>0.45100000000000001</v>
      </c>
      <c r="N15" s="886">
        <v>12</v>
      </c>
      <c r="O15" s="891">
        <v>1003091</v>
      </c>
      <c r="P15" s="890">
        <v>0</v>
      </c>
      <c r="Q15" s="890">
        <v>1797124</v>
      </c>
      <c r="R15" s="888">
        <v>1221058</v>
      </c>
    </row>
    <row r="16" spans="1:18" ht="18" customHeight="1">
      <c r="A16" s="1267"/>
      <c r="B16" s="1270"/>
      <c r="C16" s="1279"/>
      <c r="D16" s="886">
        <v>13</v>
      </c>
      <c r="E16" s="887" t="s">
        <v>765</v>
      </c>
      <c r="F16" s="886" t="s">
        <v>764</v>
      </c>
      <c r="G16" s="888">
        <v>14000000</v>
      </c>
      <c r="H16" s="889">
        <v>0</v>
      </c>
      <c r="I16" s="890">
        <v>14000000</v>
      </c>
      <c r="J16" s="890">
        <v>3683166</v>
      </c>
      <c r="K16" s="890">
        <v>10316834</v>
      </c>
      <c r="L16" s="886">
        <v>5</v>
      </c>
      <c r="M16" s="886">
        <v>0.45100000000000001</v>
      </c>
      <c r="N16" s="886">
        <v>12</v>
      </c>
      <c r="O16" s="891">
        <v>4652892</v>
      </c>
      <c r="P16" s="890">
        <v>0</v>
      </c>
      <c r="Q16" s="890">
        <v>8336058</v>
      </c>
      <c r="R16" s="888">
        <v>5663942</v>
      </c>
    </row>
    <row r="17" spans="1:18" ht="18" customHeight="1">
      <c r="A17" s="1267"/>
      <c r="B17" s="1270"/>
      <c r="C17" s="1279"/>
      <c r="D17" s="892">
        <v>14</v>
      </c>
      <c r="E17" s="893" t="s">
        <v>766</v>
      </c>
      <c r="F17" s="892" t="s">
        <v>767</v>
      </c>
      <c r="G17" s="894">
        <v>1818182</v>
      </c>
      <c r="H17" s="895">
        <v>0</v>
      </c>
      <c r="I17" s="896">
        <v>1818182</v>
      </c>
      <c r="J17" s="896">
        <v>478333</v>
      </c>
      <c r="K17" s="896">
        <v>1339849</v>
      </c>
      <c r="L17" s="892">
        <v>5</v>
      </c>
      <c r="M17" s="892">
        <v>0.45100000000000001</v>
      </c>
      <c r="N17" s="892">
        <v>12</v>
      </c>
      <c r="O17" s="897">
        <v>604271</v>
      </c>
      <c r="P17" s="896">
        <v>0</v>
      </c>
      <c r="Q17" s="896">
        <v>1082604</v>
      </c>
      <c r="R17" s="894">
        <v>735578</v>
      </c>
    </row>
    <row r="18" spans="1:18" ht="18" customHeight="1">
      <c r="A18" s="1267"/>
      <c r="B18" s="1271"/>
      <c r="C18" s="1280"/>
      <c r="D18" s="1281" t="s">
        <v>768</v>
      </c>
      <c r="E18" s="1282"/>
      <c r="F18" s="1283"/>
      <c r="G18" s="904">
        <f>SUM(G12:G17)</f>
        <v>114092364</v>
      </c>
      <c r="H18" s="905">
        <f t="shared" ref="H18:R18" si="1">SUM(H12:H17)</f>
        <v>0</v>
      </c>
      <c r="I18" s="906">
        <f t="shared" si="1"/>
        <v>114092364</v>
      </c>
      <c r="J18" s="906">
        <f t="shared" si="1"/>
        <v>39776640</v>
      </c>
      <c r="K18" s="906">
        <f t="shared" si="1"/>
        <v>74315724</v>
      </c>
      <c r="L18" s="907"/>
      <c r="M18" s="907"/>
      <c r="N18" s="907"/>
      <c r="O18" s="908">
        <f t="shared" si="1"/>
        <v>33516389</v>
      </c>
      <c r="P18" s="906">
        <f t="shared" si="1"/>
        <v>0</v>
      </c>
      <c r="Q18" s="906">
        <f t="shared" si="1"/>
        <v>73293029</v>
      </c>
      <c r="R18" s="904">
        <f t="shared" si="1"/>
        <v>40799335</v>
      </c>
    </row>
    <row r="19" spans="1:18" ht="18" customHeight="1">
      <c r="A19" s="1267"/>
      <c r="B19" s="1263" t="s">
        <v>769</v>
      </c>
      <c r="C19" s="1264"/>
      <c r="D19" s="1264"/>
      <c r="E19" s="1264"/>
      <c r="F19" s="1265"/>
      <c r="G19" s="909">
        <f>G11+G18</f>
        <v>530005273</v>
      </c>
      <c r="H19" s="910">
        <f t="shared" ref="H19:R19" si="2">H11+H18</f>
        <v>3000000</v>
      </c>
      <c r="I19" s="911">
        <f t="shared" si="2"/>
        <v>533005273</v>
      </c>
      <c r="J19" s="911">
        <f t="shared" si="2"/>
        <v>287672401</v>
      </c>
      <c r="K19" s="911">
        <f t="shared" si="2"/>
        <v>245332872</v>
      </c>
      <c r="L19" s="912"/>
      <c r="M19" s="912"/>
      <c r="N19" s="912"/>
      <c r="O19" s="913">
        <f t="shared" si="2"/>
        <v>110645118</v>
      </c>
      <c r="P19" s="911">
        <f t="shared" si="2"/>
        <v>0</v>
      </c>
      <c r="Q19" s="911">
        <f t="shared" si="2"/>
        <v>398317519</v>
      </c>
      <c r="R19" s="909">
        <f t="shared" si="2"/>
        <v>134687754</v>
      </c>
    </row>
    <row r="20" spans="1:18" ht="18" customHeight="1">
      <c r="A20" s="1267"/>
      <c r="B20" s="914" t="s">
        <v>770</v>
      </c>
      <c r="C20" s="915" t="s">
        <v>739</v>
      </c>
      <c r="D20" s="883">
        <v>10</v>
      </c>
      <c r="E20" s="903" t="s">
        <v>771</v>
      </c>
      <c r="F20" s="883" t="s">
        <v>772</v>
      </c>
      <c r="G20" s="916">
        <v>57163731</v>
      </c>
      <c r="H20" s="917">
        <v>0</v>
      </c>
      <c r="I20" s="918">
        <v>57163731</v>
      </c>
      <c r="J20" s="918">
        <v>35216630</v>
      </c>
      <c r="K20" s="918">
        <v>21947101</v>
      </c>
      <c r="L20" s="919">
        <v>5</v>
      </c>
      <c r="M20" s="919">
        <v>0.45100000000000001</v>
      </c>
      <c r="N20" s="919">
        <v>12</v>
      </c>
      <c r="O20" s="920">
        <v>9898142</v>
      </c>
      <c r="P20" s="918">
        <v>0</v>
      </c>
      <c r="Q20" s="918">
        <v>45114772</v>
      </c>
      <c r="R20" s="916">
        <v>12048959</v>
      </c>
    </row>
    <row r="21" spans="1:18" ht="18" customHeight="1">
      <c r="A21" s="1267"/>
      <c r="B21" s="1263" t="s">
        <v>773</v>
      </c>
      <c r="C21" s="1264"/>
      <c r="D21" s="1264"/>
      <c r="E21" s="1264"/>
      <c r="F21" s="1265"/>
      <c r="G21" s="909">
        <f>SUM(G20)</f>
        <v>57163731</v>
      </c>
      <c r="H21" s="910">
        <f t="shared" ref="H21:R21" si="3">SUM(H20)</f>
        <v>0</v>
      </c>
      <c r="I21" s="911">
        <f t="shared" si="3"/>
        <v>57163731</v>
      </c>
      <c r="J21" s="911">
        <f t="shared" si="3"/>
        <v>35216630</v>
      </c>
      <c r="K21" s="911">
        <f t="shared" si="3"/>
        <v>21947101</v>
      </c>
      <c r="L21" s="912"/>
      <c r="M21" s="912"/>
      <c r="N21" s="912"/>
      <c r="O21" s="913">
        <f t="shared" si="3"/>
        <v>9898142</v>
      </c>
      <c r="P21" s="911">
        <f t="shared" si="3"/>
        <v>0</v>
      </c>
      <c r="Q21" s="911">
        <f>SUM(Q20)</f>
        <v>45114772</v>
      </c>
      <c r="R21" s="909">
        <f t="shared" si="3"/>
        <v>12048959</v>
      </c>
    </row>
    <row r="22" spans="1:18" ht="18" customHeight="1">
      <c r="A22" s="1267"/>
      <c r="B22" s="1284" t="s">
        <v>774</v>
      </c>
      <c r="C22" s="921" t="s">
        <v>775</v>
      </c>
      <c r="D22" s="922">
        <v>60</v>
      </c>
      <c r="E22" s="923" t="s">
        <v>776</v>
      </c>
      <c r="F22" s="922" t="s">
        <v>777</v>
      </c>
      <c r="G22" s="924">
        <v>1550000</v>
      </c>
      <c r="H22" s="925">
        <v>0</v>
      </c>
      <c r="I22" s="926">
        <v>1550000</v>
      </c>
      <c r="J22" s="926">
        <v>1153059</v>
      </c>
      <c r="K22" s="926">
        <v>396941</v>
      </c>
      <c r="L22" s="922">
        <v>5</v>
      </c>
      <c r="M22" s="922">
        <v>0.45100000000000001</v>
      </c>
      <c r="N22" s="922">
        <v>12</v>
      </c>
      <c r="O22" s="927">
        <v>179020</v>
      </c>
      <c r="P22" s="926">
        <v>0</v>
      </c>
      <c r="Q22" s="926">
        <v>1332079</v>
      </c>
      <c r="R22" s="924">
        <v>217921</v>
      </c>
    </row>
    <row r="23" spans="1:18" ht="18" customHeight="1">
      <c r="A23" s="1267"/>
      <c r="B23" s="1270"/>
      <c r="C23" s="1285" t="s">
        <v>739</v>
      </c>
      <c r="D23" s="883">
        <v>62</v>
      </c>
      <c r="E23" s="903" t="s">
        <v>778</v>
      </c>
      <c r="F23" s="883" t="s">
        <v>779</v>
      </c>
      <c r="G23" s="885">
        <v>1240000</v>
      </c>
      <c r="H23" s="881">
        <v>0</v>
      </c>
      <c r="I23" s="882">
        <v>1240000</v>
      </c>
      <c r="J23" s="882">
        <v>866262</v>
      </c>
      <c r="K23" s="882">
        <v>373738</v>
      </c>
      <c r="L23" s="883">
        <v>5</v>
      </c>
      <c r="M23" s="883">
        <v>0.45100000000000001</v>
      </c>
      <c r="N23" s="883">
        <v>12</v>
      </c>
      <c r="O23" s="884">
        <v>168555</v>
      </c>
      <c r="P23" s="882">
        <v>0</v>
      </c>
      <c r="Q23" s="882">
        <v>1034817</v>
      </c>
      <c r="R23" s="885">
        <v>205183</v>
      </c>
    </row>
    <row r="24" spans="1:18" ht="18" customHeight="1">
      <c r="A24" s="1267"/>
      <c r="B24" s="1270"/>
      <c r="C24" s="1273"/>
      <c r="D24" s="886">
        <v>1</v>
      </c>
      <c r="E24" s="887" t="s">
        <v>780</v>
      </c>
      <c r="F24" s="886" t="s">
        <v>781</v>
      </c>
      <c r="G24" s="888">
        <v>2400000</v>
      </c>
      <c r="H24" s="889">
        <v>0</v>
      </c>
      <c r="I24" s="890">
        <v>2400000</v>
      </c>
      <c r="J24" s="890">
        <v>1528078</v>
      </c>
      <c r="K24" s="890">
        <v>871922</v>
      </c>
      <c r="L24" s="886">
        <v>5</v>
      </c>
      <c r="M24" s="886">
        <v>0.45100000000000001</v>
      </c>
      <c r="N24" s="886">
        <v>12</v>
      </c>
      <c r="O24" s="891">
        <v>393236</v>
      </c>
      <c r="P24" s="890">
        <v>0</v>
      </c>
      <c r="Q24" s="890">
        <v>1921314</v>
      </c>
      <c r="R24" s="888">
        <v>478686</v>
      </c>
    </row>
    <row r="25" spans="1:18" ht="18" customHeight="1">
      <c r="A25" s="1267"/>
      <c r="B25" s="1270"/>
      <c r="C25" s="1273"/>
      <c r="D25" s="886">
        <v>3</v>
      </c>
      <c r="E25" s="887" t="s">
        <v>782</v>
      </c>
      <c r="F25" s="886" t="s">
        <v>783</v>
      </c>
      <c r="G25" s="888">
        <v>8700000</v>
      </c>
      <c r="H25" s="889">
        <v>0</v>
      </c>
      <c r="I25" s="890">
        <v>8700000</v>
      </c>
      <c r="J25" s="890">
        <v>5359774</v>
      </c>
      <c r="K25" s="890">
        <v>3340226</v>
      </c>
      <c r="L25" s="886">
        <v>5</v>
      </c>
      <c r="M25" s="886">
        <v>0.45100000000000001</v>
      </c>
      <c r="N25" s="886">
        <v>12</v>
      </c>
      <c r="O25" s="891">
        <v>1506441</v>
      </c>
      <c r="P25" s="890">
        <v>0</v>
      </c>
      <c r="Q25" s="890">
        <v>6866215</v>
      </c>
      <c r="R25" s="888">
        <v>1833785</v>
      </c>
    </row>
    <row r="26" spans="1:18" ht="18" customHeight="1">
      <c r="A26" s="1267"/>
      <c r="B26" s="1270"/>
      <c r="C26" s="1273"/>
      <c r="D26" s="886">
        <v>6</v>
      </c>
      <c r="E26" s="887" t="s">
        <v>784</v>
      </c>
      <c r="F26" s="886" t="s">
        <v>785</v>
      </c>
      <c r="G26" s="888">
        <v>2222000</v>
      </c>
      <c r="H26" s="889">
        <v>0</v>
      </c>
      <c r="I26" s="890">
        <v>2222000</v>
      </c>
      <c r="J26" s="890">
        <v>1323051</v>
      </c>
      <c r="K26" s="890">
        <v>898949</v>
      </c>
      <c r="L26" s="886">
        <v>5</v>
      </c>
      <c r="M26" s="886">
        <v>0.45100000000000001</v>
      </c>
      <c r="N26" s="886">
        <v>12</v>
      </c>
      <c r="O26" s="891">
        <v>405425</v>
      </c>
      <c r="P26" s="890">
        <v>0</v>
      </c>
      <c r="Q26" s="890">
        <v>1728476</v>
      </c>
      <c r="R26" s="888">
        <v>493524</v>
      </c>
    </row>
    <row r="27" spans="1:18" ht="18" customHeight="1">
      <c r="A27" s="1267"/>
      <c r="B27" s="1270"/>
      <c r="C27" s="1273"/>
      <c r="D27" s="886">
        <v>7</v>
      </c>
      <c r="E27" s="887" t="s">
        <v>786</v>
      </c>
      <c r="F27" s="886" t="s">
        <v>749</v>
      </c>
      <c r="G27" s="888">
        <v>1008000</v>
      </c>
      <c r="H27" s="889">
        <v>0</v>
      </c>
      <c r="I27" s="890">
        <v>1008000</v>
      </c>
      <c r="J27" s="890">
        <v>600196</v>
      </c>
      <c r="K27" s="890">
        <v>407804</v>
      </c>
      <c r="L27" s="886">
        <v>5</v>
      </c>
      <c r="M27" s="886">
        <v>0.45100000000000001</v>
      </c>
      <c r="N27" s="886">
        <v>12</v>
      </c>
      <c r="O27" s="891">
        <v>183919</v>
      </c>
      <c r="P27" s="890">
        <v>0</v>
      </c>
      <c r="Q27" s="890">
        <v>784115</v>
      </c>
      <c r="R27" s="888">
        <v>223885</v>
      </c>
    </row>
    <row r="28" spans="1:18" ht="18" customHeight="1">
      <c r="A28" s="1267"/>
      <c r="B28" s="1270"/>
      <c r="C28" s="1273"/>
      <c r="D28" s="886">
        <v>9</v>
      </c>
      <c r="E28" s="887" t="s">
        <v>787</v>
      </c>
      <c r="F28" s="886" t="s">
        <v>749</v>
      </c>
      <c r="G28" s="888">
        <v>8700000</v>
      </c>
      <c r="H28" s="889">
        <v>0</v>
      </c>
      <c r="I28" s="890">
        <v>8700000</v>
      </c>
      <c r="J28" s="890">
        <v>5180264</v>
      </c>
      <c r="K28" s="890">
        <v>3519736</v>
      </c>
      <c r="L28" s="886">
        <v>5</v>
      </c>
      <c r="M28" s="886">
        <v>0.45100000000000001</v>
      </c>
      <c r="N28" s="886">
        <v>12</v>
      </c>
      <c r="O28" s="891">
        <v>1587400</v>
      </c>
      <c r="P28" s="890">
        <v>0</v>
      </c>
      <c r="Q28" s="890">
        <v>6767664</v>
      </c>
      <c r="R28" s="888">
        <v>1932336</v>
      </c>
    </row>
    <row r="29" spans="1:18" ht="18" customHeight="1">
      <c r="A29" s="1267"/>
      <c r="B29" s="1270"/>
      <c r="C29" s="1273"/>
      <c r="D29" s="886">
        <v>19</v>
      </c>
      <c r="E29" s="887" t="s">
        <v>788</v>
      </c>
      <c r="F29" s="886" t="s">
        <v>789</v>
      </c>
      <c r="G29" s="888">
        <v>1300000</v>
      </c>
      <c r="H29" s="889">
        <v>0</v>
      </c>
      <c r="I29" s="890">
        <v>1300000</v>
      </c>
      <c r="J29" s="890">
        <v>747239</v>
      </c>
      <c r="K29" s="890">
        <v>552761</v>
      </c>
      <c r="L29" s="886">
        <v>5</v>
      </c>
      <c r="M29" s="886">
        <v>0.45100000000000001</v>
      </c>
      <c r="N29" s="886">
        <v>12</v>
      </c>
      <c r="O29" s="891">
        <v>249295</v>
      </c>
      <c r="P29" s="890">
        <v>0</v>
      </c>
      <c r="Q29" s="890">
        <v>996534</v>
      </c>
      <c r="R29" s="888">
        <v>303466</v>
      </c>
    </row>
    <row r="30" spans="1:18" ht="18" customHeight="1">
      <c r="A30" s="1267"/>
      <c r="B30" s="1270"/>
      <c r="C30" s="1273"/>
      <c r="D30" s="886">
        <v>20</v>
      </c>
      <c r="E30" s="887" t="s">
        <v>790</v>
      </c>
      <c r="F30" s="886" t="s">
        <v>791</v>
      </c>
      <c r="G30" s="888">
        <v>1300000</v>
      </c>
      <c r="H30" s="889">
        <v>0</v>
      </c>
      <c r="I30" s="890">
        <v>1300000</v>
      </c>
      <c r="J30" s="890">
        <v>639946</v>
      </c>
      <c r="K30" s="890">
        <v>660054</v>
      </c>
      <c r="L30" s="886">
        <v>5</v>
      </c>
      <c r="M30" s="886">
        <v>0.45100000000000001</v>
      </c>
      <c r="N30" s="886">
        <v>12</v>
      </c>
      <c r="O30" s="891">
        <v>297684</v>
      </c>
      <c r="P30" s="890">
        <v>0</v>
      </c>
      <c r="Q30" s="890">
        <v>937630</v>
      </c>
      <c r="R30" s="888">
        <v>362370</v>
      </c>
    </row>
    <row r="31" spans="1:18" ht="18" customHeight="1">
      <c r="A31" s="1267"/>
      <c r="B31" s="1270"/>
      <c r="C31" s="1273"/>
      <c r="D31" s="886">
        <v>21</v>
      </c>
      <c r="E31" s="887" t="s">
        <v>792</v>
      </c>
      <c r="F31" s="886" t="s">
        <v>793</v>
      </c>
      <c r="G31" s="888">
        <v>2175000</v>
      </c>
      <c r="H31" s="889">
        <v>0</v>
      </c>
      <c r="I31" s="890">
        <v>2175000</v>
      </c>
      <c r="J31" s="890">
        <v>1070679</v>
      </c>
      <c r="K31" s="890">
        <v>1104321</v>
      </c>
      <c r="L31" s="886">
        <v>5</v>
      </c>
      <c r="M31" s="886">
        <v>0.45100000000000001</v>
      </c>
      <c r="N31" s="886">
        <v>12</v>
      </c>
      <c r="O31" s="891">
        <v>498048</v>
      </c>
      <c r="P31" s="890">
        <v>0</v>
      </c>
      <c r="Q31" s="890">
        <v>1568727</v>
      </c>
      <c r="R31" s="888">
        <v>606273</v>
      </c>
    </row>
    <row r="32" spans="1:18" ht="18" customHeight="1">
      <c r="A32" s="1267"/>
      <c r="B32" s="1270"/>
      <c r="C32" s="1274"/>
      <c r="D32" s="1275" t="s">
        <v>794</v>
      </c>
      <c r="E32" s="1276"/>
      <c r="F32" s="1277"/>
      <c r="G32" s="898">
        <f>SUM(G22:G31)</f>
        <v>30595000</v>
      </c>
      <c r="H32" s="899">
        <f>SUM(H22:H31)</f>
        <v>0</v>
      </c>
      <c r="I32" s="900">
        <f>SUM(I22:I31)</f>
        <v>30595000</v>
      </c>
      <c r="J32" s="900">
        <f t="shared" ref="J32:R32" si="4">SUM(J22:J31)</f>
        <v>18468548</v>
      </c>
      <c r="K32" s="900">
        <f t="shared" si="4"/>
        <v>12126452</v>
      </c>
      <c r="L32" s="901"/>
      <c r="M32" s="901"/>
      <c r="N32" s="901"/>
      <c r="O32" s="902">
        <f t="shared" si="4"/>
        <v>5469023</v>
      </c>
      <c r="P32" s="900">
        <f t="shared" si="4"/>
        <v>0</v>
      </c>
      <c r="Q32" s="900">
        <f t="shared" si="4"/>
        <v>23937571</v>
      </c>
      <c r="R32" s="898">
        <f t="shared" si="4"/>
        <v>6657429</v>
      </c>
    </row>
    <row r="33" spans="1:18" ht="18" customHeight="1">
      <c r="A33" s="1267"/>
      <c r="B33" s="1270"/>
      <c r="C33" s="1278" t="s">
        <v>756</v>
      </c>
      <c r="D33" s="886">
        <v>23</v>
      </c>
      <c r="E33" s="887" t="s">
        <v>795</v>
      </c>
      <c r="F33" s="886" t="s">
        <v>760</v>
      </c>
      <c r="G33" s="888">
        <v>4900000</v>
      </c>
      <c r="H33" s="889">
        <v>0</v>
      </c>
      <c r="I33" s="890">
        <v>4900000</v>
      </c>
      <c r="J33" s="890">
        <v>1657425</v>
      </c>
      <c r="K33" s="890">
        <v>3242575</v>
      </c>
      <c r="L33" s="886">
        <v>5</v>
      </c>
      <c r="M33" s="886">
        <v>0.45100000000000001</v>
      </c>
      <c r="N33" s="886">
        <v>12</v>
      </c>
      <c r="O33" s="891">
        <v>1462401</v>
      </c>
      <c r="P33" s="890">
        <v>0</v>
      </c>
      <c r="Q33" s="890">
        <v>3119826</v>
      </c>
      <c r="R33" s="888">
        <v>1780174</v>
      </c>
    </row>
    <row r="34" spans="1:18" ht="18" customHeight="1">
      <c r="A34" s="1267"/>
      <c r="B34" s="1270"/>
      <c r="C34" s="1279"/>
      <c r="D34" s="886">
        <v>24</v>
      </c>
      <c r="E34" s="887" t="s">
        <v>796</v>
      </c>
      <c r="F34" s="886" t="s">
        <v>797</v>
      </c>
      <c r="G34" s="888">
        <v>4380000</v>
      </c>
      <c r="H34" s="889">
        <v>0</v>
      </c>
      <c r="I34" s="890">
        <v>4380000</v>
      </c>
      <c r="J34" s="890">
        <v>1481535</v>
      </c>
      <c r="K34" s="890">
        <v>2898465</v>
      </c>
      <c r="L34" s="886">
        <v>5</v>
      </c>
      <c r="M34" s="886">
        <v>0.45100000000000001</v>
      </c>
      <c r="N34" s="886">
        <v>12</v>
      </c>
      <c r="O34" s="891">
        <v>1307207</v>
      </c>
      <c r="P34" s="890">
        <v>0</v>
      </c>
      <c r="Q34" s="890">
        <v>2788742</v>
      </c>
      <c r="R34" s="888">
        <v>1591258</v>
      </c>
    </row>
    <row r="35" spans="1:18" ht="18" customHeight="1">
      <c r="A35" s="1267"/>
      <c r="B35" s="1270"/>
      <c r="C35" s="1279"/>
      <c r="D35" s="886">
        <v>25</v>
      </c>
      <c r="E35" s="887" t="s">
        <v>798</v>
      </c>
      <c r="F35" s="886" t="s">
        <v>799</v>
      </c>
      <c r="G35" s="888">
        <v>2190000</v>
      </c>
      <c r="H35" s="889">
        <v>0</v>
      </c>
      <c r="I35" s="890">
        <v>2190000</v>
      </c>
      <c r="J35" s="890">
        <v>740767</v>
      </c>
      <c r="K35" s="890">
        <v>1449233</v>
      </c>
      <c r="L35" s="886">
        <v>5</v>
      </c>
      <c r="M35" s="886">
        <v>0.45100000000000001</v>
      </c>
      <c r="N35" s="886">
        <v>12</v>
      </c>
      <c r="O35" s="891">
        <v>653604</v>
      </c>
      <c r="P35" s="890">
        <v>0</v>
      </c>
      <c r="Q35" s="890">
        <v>1394371</v>
      </c>
      <c r="R35" s="888">
        <v>795629</v>
      </c>
    </row>
    <row r="36" spans="1:18" ht="18" customHeight="1">
      <c r="A36" s="1267"/>
      <c r="B36" s="1270"/>
      <c r="C36" s="1279"/>
      <c r="D36" s="886">
        <v>26</v>
      </c>
      <c r="E36" s="887" t="s">
        <v>800</v>
      </c>
      <c r="F36" s="886" t="s">
        <v>801</v>
      </c>
      <c r="G36" s="888">
        <v>3150000</v>
      </c>
      <c r="H36" s="889">
        <v>0</v>
      </c>
      <c r="I36" s="890">
        <v>3150000</v>
      </c>
      <c r="J36" s="890">
        <v>947100</v>
      </c>
      <c r="K36" s="890">
        <v>2202900</v>
      </c>
      <c r="L36" s="886">
        <v>5</v>
      </c>
      <c r="M36" s="886">
        <v>0.45100000000000001</v>
      </c>
      <c r="N36" s="886">
        <v>12</v>
      </c>
      <c r="O36" s="891">
        <v>993507</v>
      </c>
      <c r="P36" s="890">
        <v>0</v>
      </c>
      <c r="Q36" s="890">
        <v>1940607</v>
      </c>
      <c r="R36" s="888">
        <v>1209393</v>
      </c>
    </row>
    <row r="37" spans="1:18" ht="18" customHeight="1">
      <c r="A37" s="1267"/>
      <c r="B37" s="1270"/>
      <c r="C37" s="1279"/>
      <c r="D37" s="886">
        <v>27</v>
      </c>
      <c r="E37" s="887" t="s">
        <v>802</v>
      </c>
      <c r="F37" s="886" t="s">
        <v>803</v>
      </c>
      <c r="G37" s="888">
        <v>4466000</v>
      </c>
      <c r="H37" s="889">
        <v>0</v>
      </c>
      <c r="I37" s="890">
        <v>4466000</v>
      </c>
      <c r="J37" s="890">
        <v>1174930</v>
      </c>
      <c r="K37" s="890">
        <v>3291070</v>
      </c>
      <c r="L37" s="886">
        <v>5</v>
      </c>
      <c r="M37" s="886">
        <v>0.45100000000000001</v>
      </c>
      <c r="N37" s="886">
        <v>12</v>
      </c>
      <c r="O37" s="891">
        <v>1484272</v>
      </c>
      <c r="P37" s="890">
        <v>0</v>
      </c>
      <c r="Q37" s="890">
        <v>2659202</v>
      </c>
      <c r="R37" s="888">
        <v>1806798</v>
      </c>
    </row>
    <row r="38" spans="1:18" ht="18" customHeight="1">
      <c r="A38" s="1267"/>
      <c r="B38" s="1270"/>
      <c r="C38" s="1280"/>
      <c r="D38" s="1281" t="s">
        <v>768</v>
      </c>
      <c r="E38" s="1282"/>
      <c r="F38" s="1283"/>
      <c r="G38" s="928">
        <f t="shared" ref="G38:R38" si="5">SUM(G33:G37)</f>
        <v>19086000</v>
      </c>
      <c r="H38" s="929">
        <f t="shared" si="5"/>
        <v>0</v>
      </c>
      <c r="I38" s="930">
        <f t="shared" si="5"/>
        <v>19086000</v>
      </c>
      <c r="J38" s="930">
        <f t="shared" si="5"/>
        <v>6001757</v>
      </c>
      <c r="K38" s="930">
        <f t="shared" si="5"/>
        <v>13084243</v>
      </c>
      <c r="L38" s="931"/>
      <c r="M38" s="931"/>
      <c r="N38" s="931"/>
      <c r="O38" s="932">
        <f t="shared" si="5"/>
        <v>5900991</v>
      </c>
      <c r="P38" s="930">
        <f t="shared" si="5"/>
        <v>0</v>
      </c>
      <c r="Q38" s="930">
        <f t="shared" si="5"/>
        <v>11902748</v>
      </c>
      <c r="R38" s="928">
        <f t="shared" si="5"/>
        <v>7183252</v>
      </c>
    </row>
    <row r="39" spans="1:18" ht="18" customHeight="1">
      <c r="A39" s="1267"/>
      <c r="B39" s="1270"/>
      <c r="C39" s="1286" t="s">
        <v>804</v>
      </c>
      <c r="D39" s="883">
        <v>28</v>
      </c>
      <c r="E39" s="903" t="s">
        <v>805</v>
      </c>
      <c r="F39" s="883" t="s">
        <v>806</v>
      </c>
      <c r="G39" s="888">
        <v>0</v>
      </c>
      <c r="H39" s="889">
        <v>1542000</v>
      </c>
      <c r="I39" s="890">
        <v>1542000</v>
      </c>
      <c r="J39" s="890">
        <v>0</v>
      </c>
      <c r="K39" s="890">
        <v>1542000</v>
      </c>
      <c r="L39" s="886">
        <v>5</v>
      </c>
      <c r="M39" s="886">
        <v>0.45100000000000001</v>
      </c>
      <c r="N39" s="886">
        <v>8</v>
      </c>
      <c r="O39" s="891">
        <v>463628</v>
      </c>
      <c r="P39" s="890">
        <v>0</v>
      </c>
      <c r="Q39" s="890">
        <v>463628</v>
      </c>
      <c r="R39" s="888">
        <v>1078372</v>
      </c>
    </row>
    <row r="40" spans="1:18" ht="18" customHeight="1">
      <c r="A40" s="1267"/>
      <c r="B40" s="1270"/>
      <c r="C40" s="1287"/>
      <c r="D40" s="919">
        <v>31</v>
      </c>
      <c r="E40" s="933" t="s">
        <v>807</v>
      </c>
      <c r="F40" s="919" t="s">
        <v>808</v>
      </c>
      <c r="G40" s="916">
        <v>0</v>
      </c>
      <c r="H40" s="917">
        <v>2100000</v>
      </c>
      <c r="I40" s="918">
        <v>2100000</v>
      </c>
      <c r="J40" s="918">
        <v>0</v>
      </c>
      <c r="K40" s="918">
        <v>2100000</v>
      </c>
      <c r="L40" s="919">
        <v>5</v>
      </c>
      <c r="M40" s="919">
        <v>0.45100000000000001</v>
      </c>
      <c r="N40" s="919">
        <v>1</v>
      </c>
      <c r="O40" s="920">
        <v>78925</v>
      </c>
      <c r="P40" s="918">
        <v>0</v>
      </c>
      <c r="Q40" s="918">
        <v>78925</v>
      </c>
      <c r="R40" s="916">
        <v>2021075</v>
      </c>
    </row>
    <row r="41" spans="1:18" ht="18" customHeight="1">
      <c r="A41" s="1267"/>
      <c r="B41" s="1271"/>
      <c r="C41" s="1288"/>
      <c r="D41" s="1289" t="s">
        <v>809</v>
      </c>
      <c r="E41" s="1290"/>
      <c r="F41" s="1291"/>
      <c r="G41" s="934">
        <f t="shared" ref="G41" si="6">SUM(G39:G40)</f>
        <v>0</v>
      </c>
      <c r="H41" s="935">
        <f>SUM(H39:H40)</f>
        <v>3642000</v>
      </c>
      <c r="I41" s="936">
        <f t="shared" ref="I41:R41" si="7">SUM(I39:I40)</f>
        <v>3642000</v>
      </c>
      <c r="J41" s="936">
        <f t="shared" si="7"/>
        <v>0</v>
      </c>
      <c r="K41" s="936">
        <f t="shared" si="7"/>
        <v>3642000</v>
      </c>
      <c r="L41" s="937"/>
      <c r="M41" s="937"/>
      <c r="N41" s="937"/>
      <c r="O41" s="938">
        <f t="shared" si="7"/>
        <v>542553</v>
      </c>
      <c r="P41" s="936">
        <f t="shared" si="7"/>
        <v>0</v>
      </c>
      <c r="Q41" s="936">
        <f t="shared" si="7"/>
        <v>542553</v>
      </c>
      <c r="R41" s="934">
        <f t="shared" si="7"/>
        <v>3099447</v>
      </c>
    </row>
    <row r="42" spans="1:18" ht="18" customHeight="1">
      <c r="A42" s="1267"/>
      <c r="B42" s="1263" t="s">
        <v>810</v>
      </c>
      <c r="C42" s="1264"/>
      <c r="D42" s="1264"/>
      <c r="E42" s="1264"/>
      <c r="F42" s="1265"/>
      <c r="G42" s="909">
        <f>G32+G38+G41</f>
        <v>49681000</v>
      </c>
      <c r="H42" s="910">
        <f>H32+H38+H41</f>
        <v>3642000</v>
      </c>
      <c r="I42" s="911">
        <f>I32+I38+I41</f>
        <v>53323000</v>
      </c>
      <c r="J42" s="911">
        <f>J32+J38+J41</f>
        <v>24470305</v>
      </c>
      <c r="K42" s="911">
        <f>K32+K38+K41</f>
        <v>28852695</v>
      </c>
      <c r="L42" s="912"/>
      <c r="M42" s="912"/>
      <c r="N42" s="912"/>
      <c r="O42" s="913">
        <f>O32+O38+O41</f>
        <v>11912567</v>
      </c>
      <c r="P42" s="911">
        <f>P32+P38+P41</f>
        <v>0</v>
      </c>
      <c r="Q42" s="911">
        <f>Q32+Q38+Q41</f>
        <v>36382872</v>
      </c>
      <c r="R42" s="909">
        <f>R32+R38+R41</f>
        <v>16940128</v>
      </c>
    </row>
    <row r="43" spans="1:18" ht="18" customHeight="1">
      <c r="A43" s="1267"/>
      <c r="B43" s="1284" t="s">
        <v>811</v>
      </c>
      <c r="C43" s="1285" t="s">
        <v>739</v>
      </c>
      <c r="D43" s="886">
        <v>14</v>
      </c>
      <c r="E43" s="887" t="s">
        <v>812</v>
      </c>
      <c r="F43" s="886" t="s">
        <v>813</v>
      </c>
      <c r="G43" s="888">
        <v>13000000</v>
      </c>
      <c r="H43" s="889">
        <v>0</v>
      </c>
      <c r="I43" s="890">
        <v>13000000</v>
      </c>
      <c r="J43" s="890">
        <v>8277090</v>
      </c>
      <c r="K43" s="890">
        <v>4722910</v>
      </c>
      <c r="L43" s="886">
        <v>5</v>
      </c>
      <c r="M43" s="886">
        <v>0.45100000000000001</v>
      </c>
      <c r="N43" s="886">
        <v>12</v>
      </c>
      <c r="O43" s="891">
        <v>2130032</v>
      </c>
      <c r="P43" s="890">
        <v>0</v>
      </c>
      <c r="Q43" s="890">
        <v>10407122</v>
      </c>
      <c r="R43" s="888">
        <v>2592878</v>
      </c>
    </row>
    <row r="44" spans="1:18" ht="18" customHeight="1">
      <c r="A44" s="1267"/>
      <c r="B44" s="1270"/>
      <c r="C44" s="1273"/>
      <c r="D44" s="886">
        <v>15</v>
      </c>
      <c r="E44" s="887" t="s">
        <v>814</v>
      </c>
      <c r="F44" s="886" t="s">
        <v>815</v>
      </c>
      <c r="G44" s="888">
        <v>8400000</v>
      </c>
      <c r="H44" s="889">
        <v>0</v>
      </c>
      <c r="I44" s="890">
        <v>8400000</v>
      </c>
      <c r="J44" s="890">
        <v>5174954</v>
      </c>
      <c r="K44" s="890">
        <v>3225046</v>
      </c>
      <c r="L44" s="886">
        <v>5</v>
      </c>
      <c r="M44" s="886">
        <v>0.45100000000000001</v>
      </c>
      <c r="N44" s="886">
        <v>12</v>
      </c>
      <c r="O44" s="891">
        <v>1454495</v>
      </c>
      <c r="P44" s="890">
        <v>0</v>
      </c>
      <c r="Q44" s="890">
        <v>6629449</v>
      </c>
      <c r="R44" s="888">
        <v>1770551</v>
      </c>
    </row>
    <row r="45" spans="1:18" ht="18" customHeight="1">
      <c r="A45" s="1267"/>
      <c r="B45" s="1270"/>
      <c r="C45" s="1273"/>
      <c r="D45" s="886">
        <v>16</v>
      </c>
      <c r="E45" s="887" t="s">
        <v>816</v>
      </c>
      <c r="F45" s="886" t="s">
        <v>817</v>
      </c>
      <c r="G45" s="888">
        <v>9400000</v>
      </c>
      <c r="H45" s="889">
        <v>0</v>
      </c>
      <c r="I45" s="890">
        <v>9400000</v>
      </c>
      <c r="J45" s="890">
        <v>5791020</v>
      </c>
      <c r="K45" s="890">
        <v>3608980</v>
      </c>
      <c r="L45" s="886">
        <v>5</v>
      </c>
      <c r="M45" s="886">
        <v>0.45100000000000001</v>
      </c>
      <c r="N45" s="886">
        <v>12</v>
      </c>
      <c r="O45" s="891">
        <v>1627649</v>
      </c>
      <c r="P45" s="890">
        <v>0</v>
      </c>
      <c r="Q45" s="890">
        <v>7418669</v>
      </c>
      <c r="R45" s="888">
        <v>1981331</v>
      </c>
    </row>
    <row r="46" spans="1:18" ht="18" customHeight="1">
      <c r="A46" s="1267"/>
      <c r="B46" s="1270"/>
      <c r="C46" s="1273"/>
      <c r="D46" s="886">
        <v>10</v>
      </c>
      <c r="E46" s="887" t="s">
        <v>818</v>
      </c>
      <c r="F46" s="886" t="s">
        <v>819</v>
      </c>
      <c r="G46" s="888">
        <v>21000000</v>
      </c>
      <c r="H46" s="889">
        <v>0</v>
      </c>
      <c r="I46" s="890">
        <v>21000000</v>
      </c>
      <c r="J46" s="890">
        <v>12937386</v>
      </c>
      <c r="K46" s="890">
        <v>8062614</v>
      </c>
      <c r="L46" s="886">
        <v>5</v>
      </c>
      <c r="M46" s="886">
        <v>0.45100000000000001</v>
      </c>
      <c r="N46" s="886">
        <v>12</v>
      </c>
      <c r="O46" s="891">
        <v>3636238</v>
      </c>
      <c r="P46" s="890">
        <v>0</v>
      </c>
      <c r="Q46" s="890">
        <v>16573624</v>
      </c>
      <c r="R46" s="888">
        <v>4426376</v>
      </c>
    </row>
    <row r="47" spans="1:18" ht="18" customHeight="1">
      <c r="A47" s="1267"/>
      <c r="B47" s="1270"/>
      <c r="C47" s="1273"/>
      <c r="D47" s="886">
        <v>12</v>
      </c>
      <c r="E47" s="887" t="s">
        <v>820</v>
      </c>
      <c r="F47" s="886" t="s">
        <v>821</v>
      </c>
      <c r="G47" s="888">
        <v>9400000</v>
      </c>
      <c r="H47" s="889">
        <v>0</v>
      </c>
      <c r="I47" s="890">
        <v>9400000</v>
      </c>
      <c r="J47" s="890">
        <v>5597067</v>
      </c>
      <c r="K47" s="890">
        <v>3802933</v>
      </c>
      <c r="L47" s="886">
        <v>5</v>
      </c>
      <c r="M47" s="886">
        <v>0.45100000000000001</v>
      </c>
      <c r="N47" s="886">
        <v>12</v>
      </c>
      <c r="O47" s="891">
        <v>1715122</v>
      </c>
      <c r="P47" s="890">
        <v>0</v>
      </c>
      <c r="Q47" s="890">
        <v>7312189</v>
      </c>
      <c r="R47" s="888">
        <v>2087811</v>
      </c>
    </row>
    <row r="48" spans="1:18" ht="18" customHeight="1">
      <c r="A48" s="1267"/>
      <c r="B48" s="1270"/>
      <c r="C48" s="1273"/>
      <c r="D48" s="886">
        <v>22</v>
      </c>
      <c r="E48" s="887" t="s">
        <v>822</v>
      </c>
      <c r="F48" s="886" t="s">
        <v>749</v>
      </c>
      <c r="G48" s="888">
        <v>13800000</v>
      </c>
      <c r="H48" s="889">
        <v>0</v>
      </c>
      <c r="I48" s="890">
        <v>13800000</v>
      </c>
      <c r="J48" s="890">
        <v>8216971</v>
      </c>
      <c r="K48" s="890">
        <v>5583029</v>
      </c>
      <c r="L48" s="886">
        <v>5</v>
      </c>
      <c r="M48" s="886">
        <v>0.45100000000000001</v>
      </c>
      <c r="N48" s="886">
        <v>12</v>
      </c>
      <c r="O48" s="891">
        <v>2517946</v>
      </c>
      <c r="P48" s="890">
        <v>0</v>
      </c>
      <c r="Q48" s="890">
        <v>10734917</v>
      </c>
      <c r="R48" s="888">
        <v>3065083</v>
      </c>
    </row>
    <row r="49" spans="1:18" ht="18" customHeight="1">
      <c r="A49" s="1267"/>
      <c r="B49" s="1270"/>
      <c r="C49" s="1273"/>
      <c r="D49" s="886">
        <v>23</v>
      </c>
      <c r="E49" s="887" t="s">
        <v>823</v>
      </c>
      <c r="F49" s="886" t="s">
        <v>749</v>
      </c>
      <c r="G49" s="888">
        <v>22000000</v>
      </c>
      <c r="H49" s="889">
        <v>0</v>
      </c>
      <c r="I49" s="890">
        <v>22000000</v>
      </c>
      <c r="J49" s="890">
        <v>13099520</v>
      </c>
      <c r="K49" s="890">
        <v>8900480</v>
      </c>
      <c r="L49" s="886">
        <v>5</v>
      </c>
      <c r="M49" s="886">
        <v>0.45100000000000001</v>
      </c>
      <c r="N49" s="886">
        <v>12</v>
      </c>
      <c r="O49" s="891">
        <v>4014116</v>
      </c>
      <c r="P49" s="890">
        <v>0</v>
      </c>
      <c r="Q49" s="890">
        <v>17113636</v>
      </c>
      <c r="R49" s="888">
        <v>4886364</v>
      </c>
    </row>
    <row r="50" spans="1:18" ht="18" customHeight="1">
      <c r="A50" s="1267"/>
      <c r="B50" s="1270"/>
      <c r="C50" s="1273"/>
      <c r="D50" s="886">
        <v>19</v>
      </c>
      <c r="E50" s="887" t="s">
        <v>824</v>
      </c>
      <c r="F50" s="886" t="s">
        <v>749</v>
      </c>
      <c r="G50" s="888">
        <v>37000000</v>
      </c>
      <c r="H50" s="889">
        <v>0</v>
      </c>
      <c r="I50" s="890">
        <v>37000000</v>
      </c>
      <c r="J50" s="890">
        <v>22031011</v>
      </c>
      <c r="K50" s="890">
        <v>14968989</v>
      </c>
      <c r="L50" s="886">
        <v>5</v>
      </c>
      <c r="M50" s="886">
        <v>0.45100000000000001</v>
      </c>
      <c r="N50" s="886">
        <v>12</v>
      </c>
      <c r="O50" s="891">
        <v>6751014</v>
      </c>
      <c r="P50" s="890">
        <v>0</v>
      </c>
      <c r="Q50" s="890">
        <v>28782025</v>
      </c>
      <c r="R50" s="888">
        <v>8217975</v>
      </c>
    </row>
    <row r="51" spans="1:18" ht="18" customHeight="1">
      <c r="A51" s="1267"/>
      <c r="B51" s="1270"/>
      <c r="C51" s="1273"/>
      <c r="D51" s="886">
        <v>20</v>
      </c>
      <c r="E51" s="887" t="s">
        <v>825</v>
      </c>
      <c r="F51" s="886" t="s">
        <v>749</v>
      </c>
      <c r="G51" s="888">
        <v>6900000</v>
      </c>
      <c r="H51" s="889">
        <v>0</v>
      </c>
      <c r="I51" s="890">
        <v>6900000</v>
      </c>
      <c r="J51" s="890">
        <v>4108485</v>
      </c>
      <c r="K51" s="890">
        <v>2791515</v>
      </c>
      <c r="L51" s="886">
        <v>5</v>
      </c>
      <c r="M51" s="886">
        <v>0.45100000000000001</v>
      </c>
      <c r="N51" s="886">
        <v>12</v>
      </c>
      <c r="O51" s="891">
        <v>1258973</v>
      </c>
      <c r="P51" s="890">
        <v>0</v>
      </c>
      <c r="Q51" s="890">
        <v>5367458</v>
      </c>
      <c r="R51" s="888">
        <v>1532542</v>
      </c>
    </row>
    <row r="52" spans="1:18" ht="18" customHeight="1">
      <c r="A52" s="1267"/>
      <c r="B52" s="1270"/>
      <c r="C52" s="1273"/>
      <c r="D52" s="886">
        <v>1</v>
      </c>
      <c r="E52" s="887" t="s">
        <v>826</v>
      </c>
      <c r="F52" s="886" t="s">
        <v>752</v>
      </c>
      <c r="G52" s="888">
        <v>185000000</v>
      </c>
      <c r="H52" s="889">
        <v>0</v>
      </c>
      <c r="I52" s="890">
        <v>185000000</v>
      </c>
      <c r="J52" s="890">
        <v>110155058</v>
      </c>
      <c r="K52" s="890">
        <v>74844942</v>
      </c>
      <c r="L52" s="886">
        <v>5</v>
      </c>
      <c r="M52" s="886">
        <v>0.45100000000000001</v>
      </c>
      <c r="N52" s="886">
        <v>12</v>
      </c>
      <c r="O52" s="891">
        <v>33755068</v>
      </c>
      <c r="P52" s="890">
        <v>0</v>
      </c>
      <c r="Q52" s="890">
        <v>143910126</v>
      </c>
      <c r="R52" s="888">
        <v>41089874</v>
      </c>
    </row>
    <row r="53" spans="1:18" ht="18" customHeight="1">
      <c r="A53" s="1267"/>
      <c r="B53" s="1270"/>
      <c r="C53" s="1273"/>
      <c r="D53" s="886">
        <v>2</v>
      </c>
      <c r="E53" s="887" t="s">
        <v>827</v>
      </c>
      <c r="F53" s="886" t="s">
        <v>828</v>
      </c>
      <c r="G53" s="888">
        <v>57000000</v>
      </c>
      <c r="H53" s="889">
        <v>0</v>
      </c>
      <c r="I53" s="890">
        <v>57000000</v>
      </c>
      <c r="J53" s="890">
        <v>32763571</v>
      </c>
      <c r="K53" s="890">
        <v>24236429</v>
      </c>
      <c r="L53" s="886">
        <v>5</v>
      </c>
      <c r="M53" s="886">
        <v>0.45100000000000001</v>
      </c>
      <c r="N53" s="886">
        <v>12</v>
      </c>
      <c r="O53" s="891">
        <v>10930629</v>
      </c>
      <c r="P53" s="890">
        <v>0</v>
      </c>
      <c r="Q53" s="890">
        <v>43694200</v>
      </c>
      <c r="R53" s="888">
        <v>13305800</v>
      </c>
    </row>
    <row r="54" spans="1:18" ht="18" customHeight="1">
      <c r="A54" s="1267"/>
      <c r="B54" s="1270"/>
      <c r="C54" s="1273"/>
      <c r="D54" s="886">
        <v>25</v>
      </c>
      <c r="E54" s="887" t="s">
        <v>829</v>
      </c>
      <c r="F54" s="886" t="s">
        <v>830</v>
      </c>
      <c r="G54" s="888">
        <v>14000000</v>
      </c>
      <c r="H54" s="889">
        <v>0</v>
      </c>
      <c r="I54" s="890">
        <v>14000000</v>
      </c>
      <c r="J54" s="890">
        <v>7758327</v>
      </c>
      <c r="K54" s="890">
        <v>6241673</v>
      </c>
      <c r="L54" s="886">
        <v>5</v>
      </c>
      <c r="M54" s="886">
        <v>0.45100000000000001</v>
      </c>
      <c r="N54" s="886">
        <v>12</v>
      </c>
      <c r="O54" s="891">
        <v>2814994</v>
      </c>
      <c r="P54" s="890">
        <v>0</v>
      </c>
      <c r="Q54" s="890">
        <v>10573321</v>
      </c>
      <c r="R54" s="888">
        <v>3426679</v>
      </c>
    </row>
    <row r="55" spans="1:18" ht="18" customHeight="1">
      <c r="A55" s="1267"/>
      <c r="B55" s="1270"/>
      <c r="C55" s="1273"/>
      <c r="D55" s="886">
        <v>26</v>
      </c>
      <c r="E55" s="887" t="s">
        <v>831</v>
      </c>
      <c r="F55" s="886" t="s">
        <v>832</v>
      </c>
      <c r="G55" s="894">
        <v>6600000</v>
      </c>
      <c r="H55" s="895">
        <v>0</v>
      </c>
      <c r="I55" s="896">
        <v>6600000</v>
      </c>
      <c r="J55" s="896">
        <v>3385138</v>
      </c>
      <c r="K55" s="896">
        <v>3214862</v>
      </c>
      <c r="L55" s="892">
        <v>5</v>
      </c>
      <c r="M55" s="892">
        <v>0.45100000000000001</v>
      </c>
      <c r="N55" s="892">
        <v>12</v>
      </c>
      <c r="O55" s="897">
        <v>1449902</v>
      </c>
      <c r="P55" s="896">
        <v>0</v>
      </c>
      <c r="Q55" s="896">
        <v>4835040</v>
      </c>
      <c r="R55" s="894">
        <v>1764960</v>
      </c>
    </row>
    <row r="56" spans="1:18" ht="18" customHeight="1">
      <c r="A56" s="1267"/>
      <c r="B56" s="1270"/>
      <c r="C56" s="1274"/>
      <c r="D56" s="1275" t="s">
        <v>755</v>
      </c>
      <c r="E56" s="1276"/>
      <c r="F56" s="1277"/>
      <c r="G56" s="898">
        <f>SUM(G43:G55)</f>
        <v>403500000</v>
      </c>
      <c r="H56" s="899">
        <f>SUM(H43:H55)</f>
        <v>0</v>
      </c>
      <c r="I56" s="900">
        <f>SUM(I43:I55)</f>
        <v>403500000</v>
      </c>
      <c r="J56" s="900">
        <f t="shared" ref="J56:R56" si="8">SUM(J43:J55)</f>
        <v>239295598</v>
      </c>
      <c r="K56" s="900">
        <f t="shared" si="8"/>
        <v>164204402</v>
      </c>
      <c r="L56" s="901"/>
      <c r="M56" s="901"/>
      <c r="N56" s="901"/>
      <c r="O56" s="902">
        <f t="shared" si="8"/>
        <v>74056178</v>
      </c>
      <c r="P56" s="900">
        <f t="shared" si="8"/>
        <v>0</v>
      </c>
      <c r="Q56" s="900">
        <f t="shared" si="8"/>
        <v>313351776</v>
      </c>
      <c r="R56" s="898">
        <f t="shared" si="8"/>
        <v>90148224</v>
      </c>
    </row>
    <row r="57" spans="1:18" ht="18" customHeight="1">
      <c r="A57" s="1267"/>
      <c r="B57" s="1270"/>
      <c r="C57" s="1278" t="s">
        <v>756</v>
      </c>
      <c r="D57" s="886">
        <v>3</v>
      </c>
      <c r="E57" s="887" t="s">
        <v>833</v>
      </c>
      <c r="F57" s="886" t="s">
        <v>801</v>
      </c>
      <c r="G57" s="916">
        <v>2980000</v>
      </c>
      <c r="H57" s="917">
        <v>0</v>
      </c>
      <c r="I57" s="918">
        <v>2980000</v>
      </c>
      <c r="J57" s="918">
        <v>895986</v>
      </c>
      <c r="K57" s="918">
        <v>2084014</v>
      </c>
      <c r="L57" s="919">
        <v>5</v>
      </c>
      <c r="M57" s="919">
        <v>0.45100000000000001</v>
      </c>
      <c r="N57" s="919">
        <v>12</v>
      </c>
      <c r="O57" s="920">
        <v>939890</v>
      </c>
      <c r="P57" s="918">
        <v>0</v>
      </c>
      <c r="Q57" s="918">
        <v>1835876</v>
      </c>
      <c r="R57" s="916">
        <v>1144124</v>
      </c>
    </row>
    <row r="58" spans="1:18" ht="18" customHeight="1">
      <c r="A58" s="1267"/>
      <c r="B58" s="1270"/>
      <c r="C58" s="1280"/>
      <c r="D58" s="1281" t="s">
        <v>768</v>
      </c>
      <c r="E58" s="1282"/>
      <c r="F58" s="1283"/>
      <c r="G58" s="928">
        <f>SUM(G57)</f>
        <v>2980000</v>
      </c>
      <c r="H58" s="929">
        <f t="shared" ref="H58:R58" si="9">SUM(H57)</f>
        <v>0</v>
      </c>
      <c r="I58" s="930">
        <f>SUM(I57)</f>
        <v>2980000</v>
      </c>
      <c r="J58" s="930">
        <f t="shared" si="9"/>
        <v>895986</v>
      </c>
      <c r="K58" s="930">
        <f t="shared" si="9"/>
        <v>2084014</v>
      </c>
      <c r="L58" s="931"/>
      <c r="M58" s="931"/>
      <c r="N58" s="931"/>
      <c r="O58" s="932">
        <f t="shared" si="9"/>
        <v>939890</v>
      </c>
      <c r="P58" s="930">
        <f t="shared" si="9"/>
        <v>0</v>
      </c>
      <c r="Q58" s="930">
        <f t="shared" si="9"/>
        <v>1835876</v>
      </c>
      <c r="R58" s="928">
        <f t="shared" si="9"/>
        <v>1144124</v>
      </c>
    </row>
    <row r="59" spans="1:18" ht="18" customHeight="1">
      <c r="A59" s="1267"/>
      <c r="B59" s="1270"/>
      <c r="C59" s="1286" t="s">
        <v>804</v>
      </c>
      <c r="D59" s="883">
        <v>4</v>
      </c>
      <c r="E59" s="903" t="s">
        <v>834</v>
      </c>
      <c r="F59" s="883" t="s">
        <v>835</v>
      </c>
      <c r="G59" s="888">
        <v>0</v>
      </c>
      <c r="H59" s="889">
        <v>4150000</v>
      </c>
      <c r="I59" s="890">
        <v>4150000</v>
      </c>
      <c r="J59" s="890">
        <v>0</v>
      </c>
      <c r="K59" s="890">
        <v>4150000</v>
      </c>
      <c r="L59" s="886">
        <v>5</v>
      </c>
      <c r="M59" s="886">
        <v>0.45100000000000001</v>
      </c>
      <c r="N59" s="886">
        <v>5</v>
      </c>
      <c r="O59" s="891">
        <v>779854</v>
      </c>
      <c r="P59" s="890">
        <v>0</v>
      </c>
      <c r="Q59" s="890">
        <v>779854</v>
      </c>
      <c r="R59" s="888">
        <v>3370146</v>
      </c>
    </row>
    <row r="60" spans="1:18" ht="18" customHeight="1">
      <c r="A60" s="1267"/>
      <c r="B60" s="1270"/>
      <c r="C60" s="1287"/>
      <c r="D60" s="919">
        <v>8</v>
      </c>
      <c r="E60" s="933" t="s">
        <v>836</v>
      </c>
      <c r="F60" s="919" t="s">
        <v>837</v>
      </c>
      <c r="G60" s="916">
        <v>0</v>
      </c>
      <c r="H60" s="917">
        <v>4505455</v>
      </c>
      <c r="I60" s="918">
        <v>4505455</v>
      </c>
      <c r="J60" s="918">
        <v>0</v>
      </c>
      <c r="K60" s="918">
        <v>4505455</v>
      </c>
      <c r="L60" s="919">
        <v>5</v>
      </c>
      <c r="M60" s="919">
        <v>0.45100000000000001</v>
      </c>
      <c r="N60" s="919">
        <v>1</v>
      </c>
      <c r="O60" s="920">
        <v>169330</v>
      </c>
      <c r="P60" s="918">
        <v>0</v>
      </c>
      <c r="Q60" s="918">
        <v>169330</v>
      </c>
      <c r="R60" s="916">
        <v>4336125</v>
      </c>
    </row>
    <row r="61" spans="1:18" ht="18" customHeight="1">
      <c r="A61" s="1267"/>
      <c r="B61" s="1271"/>
      <c r="C61" s="1288"/>
      <c r="D61" s="1289" t="s">
        <v>809</v>
      </c>
      <c r="E61" s="1290"/>
      <c r="F61" s="1291"/>
      <c r="G61" s="934">
        <f>SUM(G59:G60)</f>
        <v>0</v>
      </c>
      <c r="H61" s="935">
        <f t="shared" ref="H61:R61" si="10">SUM(H59:H60)</f>
        <v>8655455</v>
      </c>
      <c r="I61" s="936">
        <f t="shared" si="10"/>
        <v>8655455</v>
      </c>
      <c r="J61" s="936">
        <f t="shared" si="10"/>
        <v>0</v>
      </c>
      <c r="K61" s="936">
        <f>SUM(K59:K60)</f>
        <v>8655455</v>
      </c>
      <c r="L61" s="937"/>
      <c r="M61" s="937"/>
      <c r="N61" s="937"/>
      <c r="O61" s="938">
        <f t="shared" si="10"/>
        <v>949184</v>
      </c>
      <c r="P61" s="936">
        <f t="shared" si="10"/>
        <v>0</v>
      </c>
      <c r="Q61" s="936">
        <f t="shared" si="10"/>
        <v>949184</v>
      </c>
      <c r="R61" s="934">
        <f t="shared" si="10"/>
        <v>7706271</v>
      </c>
    </row>
    <row r="62" spans="1:18" ht="18" customHeight="1">
      <c r="A62" s="1267"/>
      <c r="B62" s="1263" t="s">
        <v>838</v>
      </c>
      <c r="C62" s="1264"/>
      <c r="D62" s="1264"/>
      <c r="E62" s="1264" t="s">
        <v>839</v>
      </c>
      <c r="F62" s="1265"/>
      <c r="G62" s="909">
        <f>G56+G58+G61</f>
        <v>406480000</v>
      </c>
      <c r="H62" s="910">
        <f>H56+H58+H61</f>
        <v>8655455</v>
      </c>
      <c r="I62" s="911">
        <f>I56+I58+I61</f>
        <v>415135455</v>
      </c>
      <c r="J62" s="911">
        <f>J56+J58+J61</f>
        <v>240191584</v>
      </c>
      <c r="K62" s="911">
        <f>K56+K58+K61</f>
        <v>174943871</v>
      </c>
      <c r="L62" s="912"/>
      <c r="M62" s="912"/>
      <c r="N62" s="912"/>
      <c r="O62" s="913">
        <f>O56+O58+O61</f>
        <v>75945252</v>
      </c>
      <c r="P62" s="911">
        <f>P56+P58+P61</f>
        <v>0</v>
      </c>
      <c r="Q62" s="911">
        <f>Q56+Q58+Q61</f>
        <v>316136836</v>
      </c>
      <c r="R62" s="909">
        <f>R56+R58+R61</f>
        <v>98998619</v>
      </c>
    </row>
    <row r="63" spans="1:18" ht="18" customHeight="1">
      <c r="A63" s="1267"/>
      <c r="B63" s="1292" t="s">
        <v>840</v>
      </c>
      <c r="C63" s="1293" t="s">
        <v>739</v>
      </c>
      <c r="D63" s="886">
        <v>1</v>
      </c>
      <c r="E63" s="887" t="s">
        <v>841</v>
      </c>
      <c r="F63" s="886" t="s">
        <v>819</v>
      </c>
      <c r="G63" s="888">
        <v>42042350</v>
      </c>
      <c r="H63" s="889">
        <v>0</v>
      </c>
      <c r="I63" s="890">
        <v>42042350</v>
      </c>
      <c r="J63" s="890">
        <v>37523385</v>
      </c>
      <c r="K63" s="890">
        <v>4518965</v>
      </c>
      <c r="L63" s="886">
        <v>2</v>
      </c>
      <c r="M63" s="886">
        <v>0.77700000000000002</v>
      </c>
      <c r="N63" s="886">
        <v>12</v>
      </c>
      <c r="O63" s="891">
        <v>4517965</v>
      </c>
      <c r="P63" s="890">
        <v>0</v>
      </c>
      <c r="Q63" s="890">
        <v>42041350</v>
      </c>
      <c r="R63" s="888">
        <v>1000</v>
      </c>
    </row>
    <row r="64" spans="1:18" ht="18" customHeight="1">
      <c r="A64" s="1267"/>
      <c r="B64" s="1292"/>
      <c r="C64" s="1293"/>
      <c r="D64" s="886">
        <v>2</v>
      </c>
      <c r="E64" s="887" t="s">
        <v>842</v>
      </c>
      <c r="F64" s="886" t="s">
        <v>843</v>
      </c>
      <c r="G64" s="888">
        <v>51895540</v>
      </c>
      <c r="H64" s="889">
        <v>0</v>
      </c>
      <c r="I64" s="890">
        <v>51895540</v>
      </c>
      <c r="J64" s="890">
        <v>41821499</v>
      </c>
      <c r="K64" s="890">
        <v>10074041</v>
      </c>
      <c r="L64" s="886">
        <v>2</v>
      </c>
      <c r="M64" s="886">
        <v>0.77700000000000002</v>
      </c>
      <c r="N64" s="886">
        <v>12</v>
      </c>
      <c r="O64" s="891">
        <v>10073041</v>
      </c>
      <c r="P64" s="890">
        <v>0</v>
      </c>
      <c r="Q64" s="890">
        <v>51894540</v>
      </c>
      <c r="R64" s="888">
        <v>1000</v>
      </c>
    </row>
    <row r="65" spans="1:19" ht="18" customHeight="1">
      <c r="A65" s="1267"/>
      <c r="B65" s="1292"/>
      <c r="C65" s="1293"/>
      <c r="D65" s="886">
        <v>12</v>
      </c>
      <c r="E65" s="887" t="s">
        <v>844</v>
      </c>
      <c r="F65" s="886" t="s">
        <v>845</v>
      </c>
      <c r="G65" s="894">
        <v>44925470</v>
      </c>
      <c r="H65" s="895">
        <v>0</v>
      </c>
      <c r="I65" s="896">
        <v>44925470</v>
      </c>
      <c r="J65" s="896">
        <v>44925470</v>
      </c>
      <c r="K65" s="896">
        <v>0</v>
      </c>
      <c r="L65" s="892">
        <v>2</v>
      </c>
      <c r="M65" s="892">
        <v>0.77700000000000002</v>
      </c>
      <c r="N65" s="892">
        <v>12</v>
      </c>
      <c r="O65" s="897">
        <v>0</v>
      </c>
      <c r="P65" s="896">
        <v>0</v>
      </c>
      <c r="Q65" s="896">
        <v>44925470</v>
      </c>
      <c r="R65" s="894">
        <v>0</v>
      </c>
    </row>
    <row r="66" spans="1:19" ht="18" customHeight="1">
      <c r="A66" s="1267"/>
      <c r="B66" s="1292"/>
      <c r="C66" s="1293"/>
      <c r="D66" s="1294" t="s">
        <v>755</v>
      </c>
      <c r="E66" s="1294"/>
      <c r="F66" s="1294"/>
      <c r="G66" s="898">
        <f>SUM(G63:G65)</f>
        <v>138863360</v>
      </c>
      <c r="H66" s="899">
        <f>SUM(H63:H65)</f>
        <v>0</v>
      </c>
      <c r="I66" s="900">
        <f>SUM(I63:I65)</f>
        <v>138863360</v>
      </c>
      <c r="J66" s="900">
        <f>SUM(J63:J65)</f>
        <v>124270354</v>
      </c>
      <c r="K66" s="900">
        <f>SUM(K63:K65)</f>
        <v>14593006</v>
      </c>
      <c r="L66" s="901"/>
      <c r="M66" s="901"/>
      <c r="N66" s="901"/>
      <c r="O66" s="902">
        <f>SUM(O63:O65)</f>
        <v>14591006</v>
      </c>
      <c r="P66" s="900">
        <f>SUM(P63:P65)</f>
        <v>0</v>
      </c>
      <c r="Q66" s="900">
        <f>SUM(Q63:Q65)</f>
        <v>138861360</v>
      </c>
      <c r="R66" s="898">
        <f>SUM(R63:R65)</f>
        <v>2000</v>
      </c>
    </row>
    <row r="67" spans="1:19" ht="18" customHeight="1">
      <c r="A67" s="1267"/>
      <c r="B67" s="1292"/>
      <c r="C67" s="1295" t="s">
        <v>756</v>
      </c>
      <c r="D67" s="886">
        <v>3</v>
      </c>
      <c r="E67" s="887" t="s">
        <v>846</v>
      </c>
      <c r="F67" s="886" t="s">
        <v>847</v>
      </c>
      <c r="G67" s="885">
        <v>1294400</v>
      </c>
      <c r="H67" s="881">
        <v>0</v>
      </c>
      <c r="I67" s="882">
        <v>1294400</v>
      </c>
      <c r="J67" s="882">
        <v>1005748</v>
      </c>
      <c r="K67" s="882">
        <v>288652</v>
      </c>
      <c r="L67" s="883">
        <v>2</v>
      </c>
      <c r="M67" s="883">
        <v>0.77700000000000002</v>
      </c>
      <c r="N67" s="883">
        <v>12</v>
      </c>
      <c r="O67" s="884">
        <v>287652</v>
      </c>
      <c r="P67" s="882">
        <v>0</v>
      </c>
      <c r="Q67" s="882">
        <v>1293400</v>
      </c>
      <c r="R67" s="885">
        <v>1000</v>
      </c>
    </row>
    <row r="68" spans="1:19" ht="18" customHeight="1">
      <c r="A68" s="1267"/>
      <c r="B68" s="1292"/>
      <c r="C68" s="1295"/>
      <c r="D68" s="886">
        <v>4</v>
      </c>
      <c r="E68" s="887" t="s">
        <v>848</v>
      </c>
      <c r="F68" s="886" t="s">
        <v>849</v>
      </c>
      <c r="G68" s="888">
        <v>18725000</v>
      </c>
      <c r="H68" s="889">
        <v>0</v>
      </c>
      <c r="I68" s="890">
        <v>18725000</v>
      </c>
      <c r="J68" s="890">
        <v>10911993</v>
      </c>
      <c r="K68" s="890">
        <v>7813007</v>
      </c>
      <c r="L68" s="886">
        <v>2</v>
      </c>
      <c r="M68" s="886">
        <v>0.77700000000000002</v>
      </c>
      <c r="N68" s="886">
        <v>12</v>
      </c>
      <c r="O68" s="891">
        <v>6070706</v>
      </c>
      <c r="P68" s="890">
        <v>0</v>
      </c>
      <c r="Q68" s="890">
        <v>16982699</v>
      </c>
      <c r="R68" s="888">
        <v>1742301</v>
      </c>
    </row>
    <row r="69" spans="1:19" ht="18" customHeight="1">
      <c r="A69" s="1267"/>
      <c r="B69" s="1292"/>
      <c r="C69" s="1295"/>
      <c r="D69" s="886">
        <v>5</v>
      </c>
      <c r="E69" s="887" t="s">
        <v>850</v>
      </c>
      <c r="F69" s="886" t="s">
        <v>851</v>
      </c>
      <c r="G69" s="888">
        <v>1410000</v>
      </c>
      <c r="H69" s="889">
        <v>0</v>
      </c>
      <c r="I69" s="890">
        <v>1410000</v>
      </c>
      <c r="J69" s="890">
        <v>639082</v>
      </c>
      <c r="K69" s="890">
        <v>770918</v>
      </c>
      <c r="L69" s="886">
        <v>2</v>
      </c>
      <c r="M69" s="886">
        <v>0.77700000000000002</v>
      </c>
      <c r="N69" s="886">
        <v>12</v>
      </c>
      <c r="O69" s="891">
        <v>599003</v>
      </c>
      <c r="P69" s="890">
        <v>0</v>
      </c>
      <c r="Q69" s="890">
        <v>1238085</v>
      </c>
      <c r="R69" s="888">
        <v>171915</v>
      </c>
    </row>
    <row r="70" spans="1:19" ht="18" customHeight="1">
      <c r="A70" s="1267"/>
      <c r="B70" s="1292"/>
      <c r="C70" s="1295"/>
      <c r="D70" s="886">
        <v>6</v>
      </c>
      <c r="E70" s="887" t="s">
        <v>852</v>
      </c>
      <c r="F70" s="886" t="s">
        <v>853</v>
      </c>
      <c r="G70" s="888">
        <v>2282850</v>
      </c>
      <c r="H70" s="889">
        <v>0</v>
      </c>
      <c r="I70" s="890">
        <v>2282850</v>
      </c>
      <c r="J70" s="890">
        <v>886887</v>
      </c>
      <c r="K70" s="890">
        <v>1395963</v>
      </c>
      <c r="L70" s="886">
        <v>2</v>
      </c>
      <c r="M70" s="886">
        <v>0.77700000000000002</v>
      </c>
      <c r="N70" s="886">
        <v>12</v>
      </c>
      <c r="O70" s="891">
        <v>1084663</v>
      </c>
      <c r="P70" s="890">
        <v>0</v>
      </c>
      <c r="Q70" s="890">
        <v>1971550</v>
      </c>
      <c r="R70" s="888">
        <v>311300</v>
      </c>
    </row>
    <row r="71" spans="1:19" ht="18" customHeight="1">
      <c r="A71" s="1267"/>
      <c r="B71" s="1292"/>
      <c r="C71" s="1295"/>
      <c r="D71" s="886">
        <v>7</v>
      </c>
      <c r="E71" s="887" t="s">
        <v>854</v>
      </c>
      <c r="F71" s="886" t="s">
        <v>855</v>
      </c>
      <c r="G71" s="888">
        <v>1897200</v>
      </c>
      <c r="H71" s="889">
        <v>0</v>
      </c>
      <c r="I71" s="890">
        <v>1897200</v>
      </c>
      <c r="J71" s="890">
        <v>614218</v>
      </c>
      <c r="K71" s="890">
        <v>1282982</v>
      </c>
      <c r="L71" s="886">
        <v>2</v>
      </c>
      <c r="M71" s="886">
        <v>0.77700000000000002</v>
      </c>
      <c r="N71" s="886">
        <v>12</v>
      </c>
      <c r="O71" s="891">
        <v>996877</v>
      </c>
      <c r="P71" s="890">
        <v>0</v>
      </c>
      <c r="Q71" s="890">
        <v>1611095</v>
      </c>
      <c r="R71" s="888">
        <v>286105</v>
      </c>
    </row>
    <row r="72" spans="1:19" ht="18" customHeight="1">
      <c r="A72" s="1267"/>
      <c r="B72" s="1292"/>
      <c r="C72" s="1295"/>
      <c r="D72" s="886">
        <v>8</v>
      </c>
      <c r="E72" s="887" t="s">
        <v>856</v>
      </c>
      <c r="F72" s="886" t="s">
        <v>857</v>
      </c>
      <c r="G72" s="894">
        <v>7878600</v>
      </c>
      <c r="H72" s="895">
        <v>0</v>
      </c>
      <c r="I72" s="896">
        <v>7878600</v>
      </c>
      <c r="J72" s="896">
        <v>1530418</v>
      </c>
      <c r="K72" s="896">
        <v>6348182</v>
      </c>
      <c r="L72" s="892">
        <v>2</v>
      </c>
      <c r="M72" s="892">
        <v>0.77700000000000002</v>
      </c>
      <c r="N72" s="892">
        <v>12</v>
      </c>
      <c r="O72" s="897">
        <v>4932537</v>
      </c>
      <c r="P72" s="896">
        <v>0</v>
      </c>
      <c r="Q72" s="896">
        <v>6462955</v>
      </c>
      <c r="R72" s="894">
        <v>1415645</v>
      </c>
    </row>
    <row r="73" spans="1:19" ht="18" customHeight="1">
      <c r="A73" s="1267"/>
      <c r="B73" s="1292"/>
      <c r="C73" s="1295"/>
      <c r="D73" s="1296" t="s">
        <v>768</v>
      </c>
      <c r="E73" s="1296"/>
      <c r="F73" s="1296"/>
      <c r="G73" s="928">
        <f>SUM(G67:G72)</f>
        <v>33488050</v>
      </c>
      <c r="H73" s="929">
        <f>SUM(H67:H72)</f>
        <v>0</v>
      </c>
      <c r="I73" s="930">
        <f>SUM(I67:I72)</f>
        <v>33488050</v>
      </c>
      <c r="J73" s="930">
        <f>SUM(J67:J72)</f>
        <v>15588346</v>
      </c>
      <c r="K73" s="930">
        <f>SUM(K67:K72)</f>
        <v>17899704</v>
      </c>
      <c r="L73" s="931"/>
      <c r="M73" s="931"/>
      <c r="N73" s="931"/>
      <c r="O73" s="930">
        <f>SUM(O67:O72)</f>
        <v>13971438</v>
      </c>
      <c r="P73" s="930">
        <f>SUM(P67:P72)</f>
        <v>0</v>
      </c>
      <c r="Q73" s="930">
        <f>SUM(Q67:Q72)</f>
        <v>29559784</v>
      </c>
      <c r="R73" s="928">
        <f>SUM(R67:R72)</f>
        <v>3928266</v>
      </c>
    </row>
    <row r="74" spans="1:19" ht="18" customHeight="1">
      <c r="A74" s="1267"/>
      <c r="B74" s="1292"/>
      <c r="C74" s="1297" t="s">
        <v>804</v>
      </c>
      <c r="D74" s="939">
        <v>9</v>
      </c>
      <c r="E74" s="940" t="s">
        <v>858</v>
      </c>
      <c r="F74" s="939" t="s">
        <v>859</v>
      </c>
      <c r="G74" s="941">
        <v>0</v>
      </c>
      <c r="H74" s="942">
        <v>3525600</v>
      </c>
      <c r="I74" s="943">
        <v>3525600</v>
      </c>
      <c r="J74" s="944"/>
      <c r="K74" s="943">
        <v>3525600</v>
      </c>
      <c r="L74" s="945">
        <v>2</v>
      </c>
      <c r="M74" s="945">
        <v>0.77700000000000002</v>
      </c>
      <c r="N74" s="945">
        <v>11</v>
      </c>
      <c r="O74" s="946">
        <v>2511108</v>
      </c>
      <c r="P74" s="944"/>
      <c r="Q74" s="944">
        <v>2511108</v>
      </c>
      <c r="R74" s="941">
        <v>1014492</v>
      </c>
      <c r="S74" s="871" t="s">
        <v>860</v>
      </c>
    </row>
    <row r="75" spans="1:19" ht="18" customHeight="1">
      <c r="A75" s="1267"/>
      <c r="B75" s="1292"/>
      <c r="C75" s="1297"/>
      <c r="D75" s="886">
        <v>10</v>
      </c>
      <c r="E75" s="887" t="s">
        <v>861</v>
      </c>
      <c r="F75" s="886" t="s">
        <v>862</v>
      </c>
      <c r="G75" s="888">
        <v>0</v>
      </c>
      <c r="H75" s="889">
        <v>10141550</v>
      </c>
      <c r="I75" s="890">
        <v>10141550</v>
      </c>
      <c r="J75" s="890">
        <v>0</v>
      </c>
      <c r="K75" s="890">
        <v>10141550</v>
      </c>
      <c r="L75" s="886">
        <v>2</v>
      </c>
      <c r="M75" s="886">
        <v>0.77700000000000002</v>
      </c>
      <c r="N75" s="886">
        <v>2</v>
      </c>
      <c r="O75" s="891">
        <v>1313330</v>
      </c>
      <c r="P75" s="890">
        <v>0</v>
      </c>
      <c r="Q75" s="890">
        <v>1313330</v>
      </c>
      <c r="R75" s="888">
        <v>8828220</v>
      </c>
    </row>
    <row r="76" spans="1:19" ht="18" customHeight="1">
      <c r="A76" s="1267"/>
      <c r="B76" s="1292"/>
      <c r="C76" s="1297"/>
      <c r="D76" s="886">
        <v>11</v>
      </c>
      <c r="E76" s="887" t="s">
        <v>863</v>
      </c>
      <c r="F76" s="886" t="s">
        <v>864</v>
      </c>
      <c r="G76" s="888">
        <v>0</v>
      </c>
      <c r="H76" s="889">
        <v>2128000</v>
      </c>
      <c r="I76" s="890">
        <v>2128000</v>
      </c>
      <c r="J76" s="890">
        <v>0</v>
      </c>
      <c r="K76" s="890">
        <v>2128000</v>
      </c>
      <c r="L76" s="886">
        <v>2</v>
      </c>
      <c r="M76" s="886">
        <v>0.77700000000000002</v>
      </c>
      <c r="N76" s="886">
        <v>2</v>
      </c>
      <c r="O76" s="891">
        <v>275576</v>
      </c>
      <c r="P76" s="890">
        <v>0</v>
      </c>
      <c r="Q76" s="890">
        <v>275576</v>
      </c>
      <c r="R76" s="888">
        <v>1852424</v>
      </c>
    </row>
    <row r="77" spans="1:19" ht="18" customHeight="1">
      <c r="A77" s="1267"/>
      <c r="B77" s="1292"/>
      <c r="C77" s="1297"/>
      <c r="D77" s="947">
        <v>13</v>
      </c>
      <c r="E77" s="948" t="s">
        <v>865</v>
      </c>
      <c r="F77" s="949">
        <v>46021</v>
      </c>
      <c r="G77" s="950"/>
      <c r="H77" s="951">
        <v>7337000</v>
      </c>
      <c r="I77" s="952">
        <v>7337000</v>
      </c>
      <c r="J77" s="952"/>
      <c r="K77" s="952">
        <v>7337000</v>
      </c>
      <c r="L77" s="947">
        <v>2</v>
      </c>
      <c r="M77" s="947">
        <v>0.77700000000000002</v>
      </c>
      <c r="N77" s="947">
        <v>1</v>
      </c>
      <c r="O77" s="953">
        <v>475070</v>
      </c>
      <c r="P77" s="952">
        <v>0</v>
      </c>
      <c r="Q77" s="952">
        <v>475070</v>
      </c>
      <c r="R77" s="950">
        <v>6861930</v>
      </c>
      <c r="S77" s="871" t="s">
        <v>860</v>
      </c>
    </row>
    <row r="78" spans="1:19" ht="18" customHeight="1">
      <c r="A78" s="1267"/>
      <c r="B78" s="1292"/>
      <c r="C78" s="1297"/>
      <c r="D78" s="947">
        <v>14</v>
      </c>
      <c r="E78" s="948" t="s">
        <v>866</v>
      </c>
      <c r="F78" s="949">
        <v>46022</v>
      </c>
      <c r="G78" s="950"/>
      <c r="H78" s="951">
        <v>6480000</v>
      </c>
      <c r="I78" s="952">
        <v>6480000</v>
      </c>
      <c r="J78" s="952"/>
      <c r="K78" s="952">
        <v>6480000</v>
      </c>
      <c r="L78" s="947">
        <v>2</v>
      </c>
      <c r="M78" s="947">
        <v>0.77700000000000002</v>
      </c>
      <c r="N78" s="947">
        <v>1</v>
      </c>
      <c r="O78" s="953">
        <v>419580</v>
      </c>
      <c r="P78" s="952">
        <v>0</v>
      </c>
      <c r="Q78" s="952">
        <v>419580</v>
      </c>
      <c r="R78" s="950">
        <v>6060420</v>
      </c>
      <c r="S78" s="871" t="s">
        <v>860</v>
      </c>
    </row>
    <row r="79" spans="1:19" ht="18" customHeight="1">
      <c r="A79" s="1267"/>
      <c r="B79" s="1292"/>
      <c r="C79" s="1297"/>
      <c r="D79" s="947">
        <v>15</v>
      </c>
      <c r="E79" s="948" t="s">
        <v>867</v>
      </c>
      <c r="F79" s="949">
        <v>45961</v>
      </c>
      <c r="G79" s="950"/>
      <c r="H79" s="951">
        <v>4740000</v>
      </c>
      <c r="I79" s="952">
        <v>4740000</v>
      </c>
      <c r="J79" s="952"/>
      <c r="K79" s="952">
        <v>4740000</v>
      </c>
      <c r="L79" s="947">
        <v>2</v>
      </c>
      <c r="M79" s="947">
        <v>0.77700000000000002</v>
      </c>
      <c r="N79" s="947">
        <v>3</v>
      </c>
      <c r="O79" s="953">
        <v>920745</v>
      </c>
      <c r="P79" s="952">
        <v>0</v>
      </c>
      <c r="Q79" s="952">
        <v>920745</v>
      </c>
      <c r="R79" s="950">
        <v>3819255</v>
      </c>
      <c r="S79" s="871" t="s">
        <v>860</v>
      </c>
    </row>
    <row r="80" spans="1:19" ht="18" customHeight="1">
      <c r="A80" s="1267"/>
      <c r="B80" s="1292"/>
      <c r="C80" s="1297"/>
      <c r="D80" s="947">
        <v>16</v>
      </c>
      <c r="E80" s="948" t="s">
        <v>868</v>
      </c>
      <c r="F80" s="949">
        <v>45980</v>
      </c>
      <c r="G80" s="950"/>
      <c r="H80" s="951">
        <v>800000</v>
      </c>
      <c r="I80" s="952">
        <v>800000</v>
      </c>
      <c r="J80" s="952"/>
      <c r="K80" s="952">
        <v>800000</v>
      </c>
      <c r="L80" s="947">
        <v>2</v>
      </c>
      <c r="M80" s="947">
        <v>0.77700000000000002</v>
      </c>
      <c r="N80" s="947">
        <v>2</v>
      </c>
      <c r="O80" s="953">
        <v>103600</v>
      </c>
      <c r="P80" s="952">
        <v>0</v>
      </c>
      <c r="Q80" s="952">
        <v>103600</v>
      </c>
      <c r="R80" s="950">
        <v>696400</v>
      </c>
      <c r="S80" s="871" t="s">
        <v>860</v>
      </c>
    </row>
    <row r="81" spans="1:19" ht="18" customHeight="1">
      <c r="A81" s="1267"/>
      <c r="B81" s="1292"/>
      <c r="C81" s="1297"/>
      <c r="D81" s="947">
        <v>17</v>
      </c>
      <c r="E81" s="948" t="s">
        <v>869</v>
      </c>
      <c r="F81" s="949">
        <v>45980</v>
      </c>
      <c r="G81" s="950"/>
      <c r="H81" s="951">
        <v>208000</v>
      </c>
      <c r="I81" s="952">
        <v>208000</v>
      </c>
      <c r="J81" s="952"/>
      <c r="K81" s="952">
        <v>208000</v>
      </c>
      <c r="L81" s="947">
        <v>2</v>
      </c>
      <c r="M81" s="947">
        <v>0.77700000000000002</v>
      </c>
      <c r="N81" s="947">
        <v>2</v>
      </c>
      <c r="O81" s="953">
        <v>26936</v>
      </c>
      <c r="P81" s="952">
        <v>0</v>
      </c>
      <c r="Q81" s="952">
        <v>26936</v>
      </c>
      <c r="R81" s="950">
        <v>181064</v>
      </c>
      <c r="S81" s="871" t="s">
        <v>860</v>
      </c>
    </row>
    <row r="82" spans="1:19" ht="18" customHeight="1">
      <c r="A82" s="1267"/>
      <c r="B82" s="1292"/>
      <c r="C82" s="1297"/>
      <c r="D82" s="1298" t="s">
        <v>809</v>
      </c>
      <c r="E82" s="1298"/>
      <c r="F82" s="1298"/>
      <c r="G82" s="934">
        <f>SUM(G74:G81)</f>
        <v>0</v>
      </c>
      <c r="H82" s="935">
        <f>SUM(H74:H81)</f>
        <v>35360150</v>
      </c>
      <c r="I82" s="936">
        <f t="shared" ref="I82:K82" si="11">SUM(I74:I81)</f>
        <v>35360150</v>
      </c>
      <c r="J82" s="936">
        <f t="shared" si="11"/>
        <v>0</v>
      </c>
      <c r="K82" s="936">
        <f t="shared" si="11"/>
        <v>35360150</v>
      </c>
      <c r="L82" s="937"/>
      <c r="M82" s="937"/>
      <c r="N82" s="937"/>
      <c r="O82" s="938">
        <f>SUM(O74:O81)</f>
        <v>6045945</v>
      </c>
      <c r="P82" s="936">
        <f t="shared" ref="P82:R82" si="12">SUM(P74:P81)</f>
        <v>0</v>
      </c>
      <c r="Q82" s="936">
        <f t="shared" si="12"/>
        <v>6045945</v>
      </c>
      <c r="R82" s="934">
        <f t="shared" si="12"/>
        <v>29314205</v>
      </c>
    </row>
    <row r="83" spans="1:19" ht="18" customHeight="1">
      <c r="A83" s="1267"/>
      <c r="B83" s="1264" t="s">
        <v>870</v>
      </c>
      <c r="C83" s="1264"/>
      <c r="D83" s="1264"/>
      <c r="E83" s="1264" t="s">
        <v>839</v>
      </c>
      <c r="F83" s="1265"/>
      <c r="G83" s="954">
        <f>G66+G73+G82</f>
        <v>172351410</v>
      </c>
      <c r="H83" s="955">
        <f>H66+H73+H82</f>
        <v>35360150</v>
      </c>
      <c r="I83" s="956">
        <f>I66+I73+I82</f>
        <v>207711560</v>
      </c>
      <c r="J83" s="956">
        <f>J66+J73+J82</f>
        <v>139858700</v>
      </c>
      <c r="K83" s="956">
        <f>K66+K73+K82</f>
        <v>67852860</v>
      </c>
      <c r="L83" s="957"/>
      <c r="M83" s="957"/>
      <c r="N83" s="957"/>
      <c r="O83" s="913">
        <f>O66+O73+O82</f>
        <v>34608389</v>
      </c>
      <c r="P83" s="956">
        <f>P66+P73+P82</f>
        <v>0</v>
      </c>
      <c r="Q83" s="956">
        <f>Q66+Q73+Q82</f>
        <v>174467089</v>
      </c>
      <c r="R83" s="954">
        <f>R66+R73+R82</f>
        <v>33244471</v>
      </c>
    </row>
    <row r="84" spans="1:19" ht="18" customHeight="1" thickBot="1">
      <c r="A84" s="1268"/>
      <c r="B84" s="1299" t="s">
        <v>871</v>
      </c>
      <c r="C84" s="1300"/>
      <c r="D84" s="1300"/>
      <c r="E84" s="1300"/>
      <c r="F84" s="1301"/>
      <c r="G84" s="958">
        <f>G19+G21+G42+G62+G83</f>
        <v>1215681414</v>
      </c>
      <c r="H84" s="959">
        <f>H19+H21+H42+H62+H83</f>
        <v>50657605</v>
      </c>
      <c r="I84" s="960">
        <f>I19+I21+I42+I62+I83</f>
        <v>1266339019</v>
      </c>
      <c r="J84" s="960">
        <f>J19+J21+J42+J62+J83</f>
        <v>727409620</v>
      </c>
      <c r="K84" s="960">
        <f>K19+K21+K42+K62+K83</f>
        <v>538929399</v>
      </c>
      <c r="L84" s="961"/>
      <c r="M84" s="961"/>
      <c r="N84" s="961"/>
      <c r="O84" s="962">
        <f>O19+O21+O42+O62+O83</f>
        <v>243009468</v>
      </c>
      <c r="P84" s="960">
        <f>P19+P21+P42+P62+P83</f>
        <v>0</v>
      </c>
      <c r="Q84" s="960">
        <f>Q19+Q21+Q42+Q62+Q83</f>
        <v>970419088</v>
      </c>
      <c r="R84" s="958">
        <f>R19+R21+R42+R62+R83</f>
        <v>295919931</v>
      </c>
    </row>
    <row r="85" spans="1:19" ht="18" customHeight="1">
      <c r="A85" s="1302" t="s">
        <v>872</v>
      </c>
      <c r="B85" s="1269" t="s">
        <v>873</v>
      </c>
      <c r="C85" s="1293" t="s">
        <v>739</v>
      </c>
      <c r="D85" s="886">
        <v>13</v>
      </c>
      <c r="E85" s="887" t="s">
        <v>874</v>
      </c>
      <c r="F85" s="886" t="s">
        <v>813</v>
      </c>
      <c r="G85" s="888">
        <v>8550000</v>
      </c>
      <c r="H85" s="889">
        <v>0</v>
      </c>
      <c r="I85" s="890">
        <v>8550000</v>
      </c>
      <c r="J85" s="890">
        <v>1450000</v>
      </c>
      <c r="K85" s="890">
        <v>10000000</v>
      </c>
      <c r="L85" s="886">
        <v>5</v>
      </c>
      <c r="M85" s="886">
        <v>0.2</v>
      </c>
      <c r="N85" s="886">
        <v>12</v>
      </c>
      <c r="O85" s="891">
        <v>2000000</v>
      </c>
      <c r="P85" s="890">
        <v>0</v>
      </c>
      <c r="Q85" s="890">
        <v>2000000</v>
      </c>
      <c r="R85" s="888">
        <v>6550000</v>
      </c>
    </row>
    <row r="86" spans="1:19" ht="18" customHeight="1">
      <c r="A86" s="1303"/>
      <c r="B86" s="1270"/>
      <c r="C86" s="1293"/>
      <c r="D86" s="886">
        <v>12</v>
      </c>
      <c r="E86" s="887" t="s">
        <v>875</v>
      </c>
      <c r="F86" s="886" t="s">
        <v>876</v>
      </c>
      <c r="G86" s="894">
        <v>983333</v>
      </c>
      <c r="H86" s="895">
        <v>0</v>
      </c>
      <c r="I86" s="896">
        <v>983333</v>
      </c>
      <c r="J86" s="896">
        <v>16667</v>
      </c>
      <c r="K86" s="896">
        <v>1000000</v>
      </c>
      <c r="L86" s="892">
        <v>5</v>
      </c>
      <c r="M86" s="892">
        <v>0.2</v>
      </c>
      <c r="N86" s="892">
        <v>12</v>
      </c>
      <c r="O86" s="897">
        <v>200000</v>
      </c>
      <c r="P86" s="896">
        <v>0</v>
      </c>
      <c r="Q86" s="896">
        <v>200000</v>
      </c>
      <c r="R86" s="894">
        <v>783333</v>
      </c>
    </row>
    <row r="87" spans="1:19" ht="18" customHeight="1">
      <c r="A87" s="1303"/>
      <c r="B87" s="1270"/>
      <c r="C87" s="1293"/>
      <c r="D87" s="1294" t="s">
        <v>755</v>
      </c>
      <c r="E87" s="1294"/>
      <c r="F87" s="1294"/>
      <c r="G87" s="898">
        <f>SUM(G85:G86)</f>
        <v>9533333</v>
      </c>
      <c r="H87" s="899">
        <f t="shared" ref="H87:R87" si="13">SUM(H85:H86)</f>
        <v>0</v>
      </c>
      <c r="I87" s="900">
        <f t="shared" si="13"/>
        <v>9533333</v>
      </c>
      <c r="J87" s="900">
        <f t="shared" si="13"/>
        <v>1466667</v>
      </c>
      <c r="K87" s="900">
        <f t="shared" si="13"/>
        <v>11000000</v>
      </c>
      <c r="L87" s="963"/>
      <c r="M87" s="963"/>
      <c r="N87" s="963"/>
      <c r="O87" s="902">
        <f t="shared" si="13"/>
        <v>2200000</v>
      </c>
      <c r="P87" s="900">
        <f t="shared" si="13"/>
        <v>0</v>
      </c>
      <c r="Q87" s="900">
        <f t="shared" si="13"/>
        <v>2200000</v>
      </c>
      <c r="R87" s="898">
        <f t="shared" si="13"/>
        <v>7333333</v>
      </c>
    </row>
    <row r="88" spans="1:19" ht="18" customHeight="1">
      <c r="A88" s="1303"/>
      <c r="B88" s="1270"/>
      <c r="C88" s="1295" t="s">
        <v>756</v>
      </c>
      <c r="D88" s="886">
        <v>1</v>
      </c>
      <c r="E88" s="887" t="s">
        <v>877</v>
      </c>
      <c r="F88" s="886" t="s">
        <v>878</v>
      </c>
      <c r="G88" s="885">
        <v>800000</v>
      </c>
      <c r="H88" s="881">
        <v>0</v>
      </c>
      <c r="I88" s="882">
        <v>800000</v>
      </c>
      <c r="J88" s="882">
        <v>200000</v>
      </c>
      <c r="K88" s="882">
        <v>1000000</v>
      </c>
      <c r="L88" s="883">
        <v>5</v>
      </c>
      <c r="M88" s="883">
        <v>0.2</v>
      </c>
      <c r="N88" s="883">
        <v>12</v>
      </c>
      <c r="O88" s="884">
        <v>200000</v>
      </c>
      <c r="P88" s="882">
        <v>0</v>
      </c>
      <c r="Q88" s="882">
        <v>200000</v>
      </c>
      <c r="R88" s="885">
        <v>600000</v>
      </c>
    </row>
    <row r="89" spans="1:19" ht="18" customHeight="1">
      <c r="A89" s="1303"/>
      <c r="B89" s="1270"/>
      <c r="C89" s="1295"/>
      <c r="D89" s="886">
        <v>2</v>
      </c>
      <c r="E89" s="887" t="s">
        <v>879</v>
      </c>
      <c r="F89" s="886" t="s">
        <v>878</v>
      </c>
      <c r="G89" s="888">
        <v>800000</v>
      </c>
      <c r="H89" s="889">
        <v>0</v>
      </c>
      <c r="I89" s="890">
        <v>800000</v>
      </c>
      <c r="J89" s="890">
        <v>200000</v>
      </c>
      <c r="K89" s="890">
        <v>1000000</v>
      </c>
      <c r="L89" s="886">
        <v>5</v>
      </c>
      <c r="M89" s="886">
        <v>0.2</v>
      </c>
      <c r="N89" s="886">
        <v>12</v>
      </c>
      <c r="O89" s="891">
        <v>200000</v>
      </c>
      <c r="P89" s="890">
        <v>0</v>
      </c>
      <c r="Q89" s="890">
        <v>200000</v>
      </c>
      <c r="R89" s="888">
        <v>600000</v>
      </c>
    </row>
    <row r="90" spans="1:19" ht="18" customHeight="1">
      <c r="A90" s="1303"/>
      <c r="B90" s="1270"/>
      <c r="C90" s="1295"/>
      <c r="D90" s="886">
        <v>3</v>
      </c>
      <c r="E90" s="887" t="s">
        <v>880</v>
      </c>
      <c r="F90" s="886" t="s">
        <v>881</v>
      </c>
      <c r="G90" s="888">
        <v>816667</v>
      </c>
      <c r="H90" s="889">
        <v>0</v>
      </c>
      <c r="I90" s="890">
        <v>816667</v>
      </c>
      <c r="J90" s="890">
        <v>183333</v>
      </c>
      <c r="K90" s="890">
        <v>1000000</v>
      </c>
      <c r="L90" s="886">
        <v>5</v>
      </c>
      <c r="M90" s="886">
        <v>0.2</v>
      </c>
      <c r="N90" s="886">
        <v>12</v>
      </c>
      <c r="O90" s="891">
        <v>200000</v>
      </c>
      <c r="P90" s="890">
        <v>0</v>
      </c>
      <c r="Q90" s="890">
        <v>200000</v>
      </c>
      <c r="R90" s="888">
        <v>616667</v>
      </c>
    </row>
    <row r="91" spans="1:19" ht="18" customHeight="1">
      <c r="A91" s="1303"/>
      <c r="B91" s="1270"/>
      <c r="C91" s="1295"/>
      <c r="D91" s="886">
        <v>4</v>
      </c>
      <c r="E91" s="887" t="s">
        <v>882</v>
      </c>
      <c r="F91" s="886" t="s">
        <v>883</v>
      </c>
      <c r="G91" s="888">
        <v>833334</v>
      </c>
      <c r="H91" s="889">
        <v>0</v>
      </c>
      <c r="I91" s="890">
        <v>833334</v>
      </c>
      <c r="J91" s="890">
        <v>166666</v>
      </c>
      <c r="K91" s="890">
        <v>1000000</v>
      </c>
      <c r="L91" s="886">
        <v>5</v>
      </c>
      <c r="M91" s="886">
        <v>0.2</v>
      </c>
      <c r="N91" s="886">
        <v>12</v>
      </c>
      <c r="O91" s="891">
        <v>200000</v>
      </c>
      <c r="P91" s="890">
        <v>0</v>
      </c>
      <c r="Q91" s="890">
        <v>200000</v>
      </c>
      <c r="R91" s="888">
        <v>633334</v>
      </c>
    </row>
    <row r="92" spans="1:19" ht="18" customHeight="1">
      <c r="A92" s="1303"/>
      <c r="B92" s="1270"/>
      <c r="C92" s="1295"/>
      <c r="D92" s="886">
        <v>5</v>
      </c>
      <c r="E92" s="887" t="s">
        <v>884</v>
      </c>
      <c r="F92" s="886" t="s">
        <v>885</v>
      </c>
      <c r="G92" s="888">
        <v>850000</v>
      </c>
      <c r="H92" s="889">
        <v>0</v>
      </c>
      <c r="I92" s="890">
        <v>850000</v>
      </c>
      <c r="J92" s="890">
        <v>150000</v>
      </c>
      <c r="K92" s="890">
        <v>1000000</v>
      </c>
      <c r="L92" s="886">
        <v>5</v>
      </c>
      <c r="M92" s="886">
        <v>0.2</v>
      </c>
      <c r="N92" s="886">
        <v>12</v>
      </c>
      <c r="O92" s="891">
        <v>200000</v>
      </c>
      <c r="P92" s="890">
        <v>0</v>
      </c>
      <c r="Q92" s="890">
        <v>200000</v>
      </c>
      <c r="R92" s="888">
        <v>650000</v>
      </c>
    </row>
    <row r="93" spans="1:19" ht="18" customHeight="1">
      <c r="A93" s="1303"/>
      <c r="B93" s="1270"/>
      <c r="C93" s="1295"/>
      <c r="D93" s="886">
        <v>6</v>
      </c>
      <c r="E93" s="887" t="s">
        <v>886</v>
      </c>
      <c r="F93" s="886" t="s">
        <v>887</v>
      </c>
      <c r="G93" s="888">
        <v>866667</v>
      </c>
      <c r="H93" s="889">
        <v>0</v>
      </c>
      <c r="I93" s="890">
        <v>866667</v>
      </c>
      <c r="J93" s="890">
        <v>133333</v>
      </c>
      <c r="K93" s="890">
        <v>1000000</v>
      </c>
      <c r="L93" s="886">
        <v>5</v>
      </c>
      <c r="M93" s="886">
        <v>0.2</v>
      </c>
      <c r="N93" s="886">
        <v>12</v>
      </c>
      <c r="O93" s="891">
        <v>200000</v>
      </c>
      <c r="P93" s="890">
        <v>0</v>
      </c>
      <c r="Q93" s="890">
        <v>200000</v>
      </c>
      <c r="R93" s="888">
        <v>666667</v>
      </c>
    </row>
    <row r="94" spans="1:19" ht="18" customHeight="1">
      <c r="A94" s="1303"/>
      <c r="B94" s="1270"/>
      <c r="C94" s="1295"/>
      <c r="D94" s="886">
        <v>7</v>
      </c>
      <c r="E94" s="887" t="s">
        <v>888</v>
      </c>
      <c r="F94" s="886" t="s">
        <v>889</v>
      </c>
      <c r="G94" s="888">
        <v>883334</v>
      </c>
      <c r="H94" s="889">
        <v>0</v>
      </c>
      <c r="I94" s="890">
        <v>883334</v>
      </c>
      <c r="J94" s="890">
        <v>116666</v>
      </c>
      <c r="K94" s="890">
        <v>1000000</v>
      </c>
      <c r="L94" s="886">
        <v>5</v>
      </c>
      <c r="M94" s="886">
        <v>0.2</v>
      </c>
      <c r="N94" s="886">
        <v>12</v>
      </c>
      <c r="O94" s="891">
        <v>200000</v>
      </c>
      <c r="P94" s="890">
        <v>0</v>
      </c>
      <c r="Q94" s="890">
        <v>200000</v>
      </c>
      <c r="R94" s="888">
        <v>683334</v>
      </c>
    </row>
    <row r="95" spans="1:19" ht="18" customHeight="1">
      <c r="A95" s="1303"/>
      <c r="B95" s="1270"/>
      <c r="C95" s="1295"/>
      <c r="D95" s="886">
        <v>8</v>
      </c>
      <c r="E95" s="887" t="s">
        <v>890</v>
      </c>
      <c r="F95" s="886" t="s">
        <v>891</v>
      </c>
      <c r="G95" s="888">
        <v>900000</v>
      </c>
      <c r="H95" s="889">
        <v>0</v>
      </c>
      <c r="I95" s="890">
        <v>900000</v>
      </c>
      <c r="J95" s="890">
        <v>100000</v>
      </c>
      <c r="K95" s="890">
        <v>1000000</v>
      </c>
      <c r="L95" s="886">
        <v>5</v>
      </c>
      <c r="M95" s="886">
        <v>0.2</v>
      </c>
      <c r="N95" s="886">
        <v>12</v>
      </c>
      <c r="O95" s="891">
        <v>200000</v>
      </c>
      <c r="P95" s="890">
        <v>0</v>
      </c>
      <c r="Q95" s="890">
        <v>200000</v>
      </c>
      <c r="R95" s="888">
        <v>700000</v>
      </c>
    </row>
    <row r="96" spans="1:19" ht="18" customHeight="1">
      <c r="A96" s="1303"/>
      <c r="B96" s="1270"/>
      <c r="C96" s="1295"/>
      <c r="D96" s="886">
        <v>9</v>
      </c>
      <c r="E96" s="887" t="s">
        <v>892</v>
      </c>
      <c r="F96" s="886" t="s">
        <v>893</v>
      </c>
      <c r="G96" s="888">
        <v>916667</v>
      </c>
      <c r="H96" s="889">
        <v>0</v>
      </c>
      <c r="I96" s="890">
        <v>916667</v>
      </c>
      <c r="J96" s="890">
        <v>83333</v>
      </c>
      <c r="K96" s="890">
        <v>1000000</v>
      </c>
      <c r="L96" s="886">
        <v>5</v>
      </c>
      <c r="M96" s="886">
        <v>0.2</v>
      </c>
      <c r="N96" s="886">
        <v>12</v>
      </c>
      <c r="O96" s="891">
        <v>200000</v>
      </c>
      <c r="P96" s="890">
        <v>0</v>
      </c>
      <c r="Q96" s="890">
        <v>200000</v>
      </c>
      <c r="R96" s="888">
        <v>716667</v>
      </c>
    </row>
    <row r="97" spans="1:18" ht="18" customHeight="1">
      <c r="A97" s="1303"/>
      <c r="B97" s="1270"/>
      <c r="C97" s="1295"/>
      <c r="D97" s="886">
        <v>10</v>
      </c>
      <c r="E97" s="887" t="s">
        <v>894</v>
      </c>
      <c r="F97" s="886" t="s">
        <v>895</v>
      </c>
      <c r="G97" s="888">
        <v>933334</v>
      </c>
      <c r="H97" s="889">
        <v>0</v>
      </c>
      <c r="I97" s="890">
        <v>933334</v>
      </c>
      <c r="J97" s="890">
        <v>66666</v>
      </c>
      <c r="K97" s="890">
        <v>1000000</v>
      </c>
      <c r="L97" s="886">
        <v>5</v>
      </c>
      <c r="M97" s="886">
        <v>0.2</v>
      </c>
      <c r="N97" s="886">
        <v>12</v>
      </c>
      <c r="O97" s="891">
        <v>200000</v>
      </c>
      <c r="P97" s="890">
        <v>0</v>
      </c>
      <c r="Q97" s="890">
        <v>200000</v>
      </c>
      <c r="R97" s="888">
        <v>733334</v>
      </c>
    </row>
    <row r="98" spans="1:18" ht="18" customHeight="1">
      <c r="A98" s="1303"/>
      <c r="B98" s="1270"/>
      <c r="C98" s="1295"/>
      <c r="D98" s="892">
        <v>11</v>
      </c>
      <c r="E98" s="893" t="s">
        <v>896</v>
      </c>
      <c r="F98" s="892" t="s">
        <v>897</v>
      </c>
      <c r="G98" s="894">
        <v>950000</v>
      </c>
      <c r="H98" s="895">
        <v>0</v>
      </c>
      <c r="I98" s="896">
        <v>950000</v>
      </c>
      <c r="J98" s="896">
        <v>50000</v>
      </c>
      <c r="K98" s="896">
        <v>1000000</v>
      </c>
      <c r="L98" s="892">
        <v>5</v>
      </c>
      <c r="M98" s="892">
        <v>0.2</v>
      </c>
      <c r="N98" s="892">
        <v>12</v>
      </c>
      <c r="O98" s="897">
        <v>200000</v>
      </c>
      <c r="P98" s="896">
        <v>0</v>
      </c>
      <c r="Q98" s="896">
        <v>200000</v>
      </c>
      <c r="R98" s="894">
        <v>750000</v>
      </c>
    </row>
    <row r="99" spans="1:18" ht="18" customHeight="1">
      <c r="A99" s="1303"/>
      <c r="B99" s="1271"/>
      <c r="C99" s="1295"/>
      <c r="D99" s="1296" t="s">
        <v>768</v>
      </c>
      <c r="E99" s="1296"/>
      <c r="F99" s="1296"/>
      <c r="G99" s="928">
        <f>SUM(G88:G98)</f>
        <v>9550003</v>
      </c>
      <c r="H99" s="929">
        <f t="shared" ref="H99:R99" si="14">SUM(H88:H98)</f>
        <v>0</v>
      </c>
      <c r="I99" s="930">
        <f t="shared" si="14"/>
        <v>9550003</v>
      </c>
      <c r="J99" s="930">
        <f t="shared" si="14"/>
        <v>1449997</v>
      </c>
      <c r="K99" s="930">
        <f t="shared" si="14"/>
        <v>11000000</v>
      </c>
      <c r="L99" s="964"/>
      <c r="M99" s="964"/>
      <c r="N99" s="964"/>
      <c r="O99" s="932">
        <f t="shared" si="14"/>
        <v>2200000</v>
      </c>
      <c r="P99" s="930">
        <f t="shared" si="14"/>
        <v>0</v>
      </c>
      <c r="Q99" s="930">
        <f t="shared" si="14"/>
        <v>2200000</v>
      </c>
      <c r="R99" s="928">
        <f t="shared" si="14"/>
        <v>7350003</v>
      </c>
    </row>
    <row r="100" spans="1:18" ht="18" customHeight="1">
      <c r="A100" s="1303"/>
      <c r="B100" s="1263" t="s">
        <v>898</v>
      </c>
      <c r="C100" s="1264"/>
      <c r="D100" s="1264"/>
      <c r="E100" s="1264"/>
      <c r="F100" s="1265"/>
      <c r="G100" s="909">
        <f>G87+G99</f>
        <v>19083336</v>
      </c>
      <c r="H100" s="910">
        <f t="shared" ref="H100:R100" si="15">H87+H99</f>
        <v>0</v>
      </c>
      <c r="I100" s="911">
        <f t="shared" si="15"/>
        <v>19083336</v>
      </c>
      <c r="J100" s="911">
        <f t="shared" si="15"/>
        <v>2916664</v>
      </c>
      <c r="K100" s="911">
        <f t="shared" si="15"/>
        <v>22000000</v>
      </c>
      <c r="L100" s="912"/>
      <c r="M100" s="965"/>
      <c r="N100" s="912"/>
      <c r="O100" s="913">
        <f t="shared" si="15"/>
        <v>4400000</v>
      </c>
      <c r="P100" s="911">
        <f t="shared" si="15"/>
        <v>0</v>
      </c>
      <c r="Q100" s="911">
        <f t="shared" si="15"/>
        <v>4400000</v>
      </c>
      <c r="R100" s="909">
        <f t="shared" si="15"/>
        <v>14683336</v>
      </c>
    </row>
    <row r="101" spans="1:18" ht="18" customHeight="1">
      <c r="A101" s="1303"/>
      <c r="B101" s="1305" t="s">
        <v>899</v>
      </c>
      <c r="C101" s="1308" t="s">
        <v>900</v>
      </c>
      <c r="D101" s="886">
        <v>4</v>
      </c>
      <c r="E101" s="887" t="s">
        <v>901</v>
      </c>
      <c r="F101" s="886" t="s">
        <v>902</v>
      </c>
      <c r="G101" s="888">
        <v>1000</v>
      </c>
      <c r="H101" s="889">
        <v>0</v>
      </c>
      <c r="I101" s="890">
        <v>1000</v>
      </c>
      <c r="J101" s="890">
        <v>899000</v>
      </c>
      <c r="K101" s="890">
        <v>900000</v>
      </c>
      <c r="L101" s="886">
        <v>5</v>
      </c>
      <c r="M101" s="886">
        <v>0.2</v>
      </c>
      <c r="N101" s="886">
        <v>12</v>
      </c>
      <c r="O101" s="891">
        <v>0</v>
      </c>
      <c r="P101" s="890">
        <v>0</v>
      </c>
      <c r="Q101" s="890">
        <v>0</v>
      </c>
      <c r="R101" s="888">
        <v>1000</v>
      </c>
    </row>
    <row r="102" spans="1:18" ht="18" customHeight="1">
      <c r="A102" s="1303"/>
      <c r="B102" s="1306"/>
      <c r="C102" s="1309"/>
      <c r="D102" s="886">
        <v>5</v>
      </c>
      <c r="E102" s="887" t="s">
        <v>903</v>
      </c>
      <c r="F102" s="886" t="s">
        <v>904</v>
      </c>
      <c r="G102" s="888">
        <v>1000</v>
      </c>
      <c r="H102" s="889">
        <v>0</v>
      </c>
      <c r="I102" s="890">
        <v>1000</v>
      </c>
      <c r="J102" s="890">
        <v>779000</v>
      </c>
      <c r="K102" s="890">
        <v>780000</v>
      </c>
      <c r="L102" s="886">
        <v>5</v>
      </c>
      <c r="M102" s="886">
        <v>0.2</v>
      </c>
      <c r="N102" s="886">
        <v>12</v>
      </c>
      <c r="O102" s="891">
        <v>0</v>
      </c>
      <c r="P102" s="890">
        <v>0</v>
      </c>
      <c r="Q102" s="890">
        <v>0</v>
      </c>
      <c r="R102" s="888">
        <v>1000</v>
      </c>
    </row>
    <row r="103" spans="1:18" ht="18" customHeight="1">
      <c r="A103" s="1303"/>
      <c r="B103" s="1306"/>
      <c r="C103" s="1309"/>
      <c r="D103" s="886">
        <v>6</v>
      </c>
      <c r="E103" s="887" t="s">
        <v>905</v>
      </c>
      <c r="F103" s="886" t="s">
        <v>906</v>
      </c>
      <c r="G103" s="894">
        <v>53867</v>
      </c>
      <c r="H103" s="895">
        <v>0</v>
      </c>
      <c r="I103" s="896">
        <v>53867</v>
      </c>
      <c r="J103" s="896">
        <v>1562042</v>
      </c>
      <c r="K103" s="896">
        <v>1615909</v>
      </c>
      <c r="L103" s="892">
        <v>5</v>
      </c>
      <c r="M103" s="892">
        <v>0.2</v>
      </c>
      <c r="N103" s="892">
        <v>12</v>
      </c>
      <c r="O103" s="897">
        <v>52867</v>
      </c>
      <c r="P103" s="896">
        <v>0</v>
      </c>
      <c r="Q103" s="896">
        <v>52867</v>
      </c>
      <c r="R103" s="894">
        <v>1000</v>
      </c>
    </row>
    <row r="104" spans="1:18" ht="18" customHeight="1">
      <c r="A104" s="1303"/>
      <c r="B104" s="1307"/>
      <c r="C104" s="1310"/>
      <c r="D104" s="1311" t="s">
        <v>907</v>
      </c>
      <c r="E104" s="1312"/>
      <c r="F104" s="1313"/>
      <c r="G104" s="966">
        <f>SUM(G101:G103)</f>
        <v>55867</v>
      </c>
      <c r="H104" s="967">
        <f t="shared" ref="H104:R104" si="16">SUM(H101:H103)</f>
        <v>0</v>
      </c>
      <c r="I104" s="968">
        <f>SUM(I101:I103)</f>
        <v>55867</v>
      </c>
      <c r="J104" s="968">
        <f t="shared" si="16"/>
        <v>3240042</v>
      </c>
      <c r="K104" s="968">
        <f t="shared" si="16"/>
        <v>3295909</v>
      </c>
      <c r="L104" s="969"/>
      <c r="M104" s="969"/>
      <c r="N104" s="969"/>
      <c r="O104" s="970">
        <f t="shared" si="16"/>
        <v>52867</v>
      </c>
      <c r="P104" s="968">
        <f t="shared" si="16"/>
        <v>0</v>
      </c>
      <c r="Q104" s="968">
        <f t="shared" si="16"/>
        <v>52867</v>
      </c>
      <c r="R104" s="966">
        <f t="shared" si="16"/>
        <v>3000</v>
      </c>
    </row>
    <row r="105" spans="1:18" ht="18" customHeight="1">
      <c r="A105" s="1303"/>
      <c r="B105" s="1263" t="s">
        <v>908</v>
      </c>
      <c r="C105" s="1264"/>
      <c r="D105" s="1264"/>
      <c r="E105" s="1264"/>
      <c r="F105" s="1265"/>
      <c r="G105" s="909">
        <f>G104</f>
        <v>55867</v>
      </c>
      <c r="H105" s="910">
        <f t="shared" ref="H105:R105" si="17">H104</f>
        <v>0</v>
      </c>
      <c r="I105" s="911">
        <f t="shared" si="17"/>
        <v>55867</v>
      </c>
      <c r="J105" s="911">
        <f t="shared" si="17"/>
        <v>3240042</v>
      </c>
      <c r="K105" s="911">
        <f t="shared" si="17"/>
        <v>3295909</v>
      </c>
      <c r="L105" s="912"/>
      <c r="M105" s="965"/>
      <c r="N105" s="912"/>
      <c r="O105" s="913">
        <f t="shared" si="17"/>
        <v>52867</v>
      </c>
      <c r="P105" s="911">
        <f t="shared" si="17"/>
        <v>0</v>
      </c>
      <c r="Q105" s="911">
        <f t="shared" si="17"/>
        <v>52867</v>
      </c>
      <c r="R105" s="909">
        <f t="shared" si="17"/>
        <v>3000</v>
      </c>
    </row>
    <row r="106" spans="1:18" ht="18" customHeight="1">
      <c r="A106" s="1303"/>
      <c r="B106" s="1305" t="s">
        <v>909</v>
      </c>
      <c r="C106" s="1314" t="s">
        <v>739</v>
      </c>
      <c r="D106" s="886">
        <v>1</v>
      </c>
      <c r="E106" s="887" t="s">
        <v>910</v>
      </c>
      <c r="F106" s="886" t="s">
        <v>911</v>
      </c>
      <c r="G106" s="888">
        <v>1636365</v>
      </c>
      <c r="H106" s="889">
        <v>0</v>
      </c>
      <c r="I106" s="890">
        <v>1636365</v>
      </c>
      <c r="J106" s="890">
        <v>1090908</v>
      </c>
      <c r="K106" s="890">
        <v>2727273</v>
      </c>
      <c r="L106" s="886">
        <v>5</v>
      </c>
      <c r="M106" s="886">
        <v>0.2</v>
      </c>
      <c r="N106" s="886">
        <v>12</v>
      </c>
      <c r="O106" s="891">
        <v>545454</v>
      </c>
      <c r="P106" s="890">
        <v>0</v>
      </c>
      <c r="Q106" s="890">
        <v>545454</v>
      </c>
      <c r="R106" s="888">
        <v>1090911</v>
      </c>
    </row>
    <row r="107" spans="1:18" ht="18" customHeight="1">
      <c r="A107" s="1303"/>
      <c r="B107" s="1306"/>
      <c r="C107" s="1315"/>
      <c r="D107" s="886">
        <v>2</v>
      </c>
      <c r="E107" s="887" t="s">
        <v>912</v>
      </c>
      <c r="F107" s="886" t="s">
        <v>913</v>
      </c>
      <c r="G107" s="894">
        <v>1628789</v>
      </c>
      <c r="H107" s="895">
        <v>0</v>
      </c>
      <c r="I107" s="896">
        <v>1628789</v>
      </c>
      <c r="J107" s="896">
        <v>643938</v>
      </c>
      <c r="K107" s="896">
        <v>2272727</v>
      </c>
      <c r="L107" s="892">
        <v>5</v>
      </c>
      <c r="M107" s="892">
        <v>0.2</v>
      </c>
      <c r="N107" s="892">
        <v>12</v>
      </c>
      <c r="O107" s="897">
        <v>454545</v>
      </c>
      <c r="P107" s="896">
        <v>0</v>
      </c>
      <c r="Q107" s="896">
        <v>454545</v>
      </c>
      <c r="R107" s="894">
        <v>1174244</v>
      </c>
    </row>
    <row r="108" spans="1:18" ht="18" customHeight="1">
      <c r="A108" s="1303"/>
      <c r="B108" s="1307"/>
      <c r="C108" s="1316"/>
      <c r="D108" s="1294" t="s">
        <v>755</v>
      </c>
      <c r="E108" s="1294"/>
      <c r="F108" s="1294"/>
      <c r="G108" s="898">
        <f>SUM(G106:G107)</f>
        <v>3265154</v>
      </c>
      <c r="H108" s="899">
        <f t="shared" ref="H108:R108" si="18">SUM(H106:H107)</f>
        <v>0</v>
      </c>
      <c r="I108" s="900">
        <f t="shared" si="18"/>
        <v>3265154</v>
      </c>
      <c r="J108" s="900">
        <f t="shared" si="18"/>
        <v>1734846</v>
      </c>
      <c r="K108" s="900">
        <f t="shared" si="18"/>
        <v>5000000</v>
      </c>
      <c r="L108" s="963"/>
      <c r="M108" s="971"/>
      <c r="N108" s="963"/>
      <c r="O108" s="902">
        <f t="shared" si="18"/>
        <v>999999</v>
      </c>
      <c r="P108" s="900">
        <f t="shared" si="18"/>
        <v>0</v>
      </c>
      <c r="Q108" s="900">
        <f t="shared" si="18"/>
        <v>999999</v>
      </c>
      <c r="R108" s="898">
        <f t="shared" si="18"/>
        <v>2265155</v>
      </c>
    </row>
    <row r="109" spans="1:18" ht="18" customHeight="1">
      <c r="A109" s="1303"/>
      <c r="B109" s="1263" t="s">
        <v>914</v>
      </c>
      <c r="C109" s="1264"/>
      <c r="D109" s="1264"/>
      <c r="E109" s="1264"/>
      <c r="F109" s="1265"/>
      <c r="G109" s="909">
        <f>G108</f>
        <v>3265154</v>
      </c>
      <c r="H109" s="910">
        <f t="shared" ref="H109:R109" si="19">H108</f>
        <v>0</v>
      </c>
      <c r="I109" s="911">
        <f t="shared" si="19"/>
        <v>3265154</v>
      </c>
      <c r="J109" s="911">
        <f t="shared" si="19"/>
        <v>1734846</v>
      </c>
      <c r="K109" s="911">
        <f t="shared" si="19"/>
        <v>5000000</v>
      </c>
      <c r="L109" s="912"/>
      <c r="M109" s="965"/>
      <c r="N109" s="912"/>
      <c r="O109" s="913">
        <f t="shared" si="19"/>
        <v>999999</v>
      </c>
      <c r="P109" s="911">
        <f t="shared" si="19"/>
        <v>0</v>
      </c>
      <c r="Q109" s="911">
        <f t="shared" si="19"/>
        <v>999999</v>
      </c>
      <c r="R109" s="909">
        <f t="shared" si="19"/>
        <v>2265155</v>
      </c>
    </row>
    <row r="110" spans="1:18" ht="18" customHeight="1" thickBot="1">
      <c r="A110" s="1304"/>
      <c r="B110" s="1317" t="s">
        <v>915</v>
      </c>
      <c r="C110" s="1318"/>
      <c r="D110" s="1318"/>
      <c r="E110" s="1319"/>
      <c r="F110" s="1320"/>
      <c r="G110" s="958">
        <f>G100+G105+G109</f>
        <v>22404357</v>
      </c>
      <c r="H110" s="959">
        <f>H100+H105+H109</f>
        <v>0</v>
      </c>
      <c r="I110" s="960">
        <f t="shared" ref="I110:R110" si="20">I100+I105+I109</f>
        <v>22404357</v>
      </c>
      <c r="J110" s="960">
        <f t="shared" si="20"/>
        <v>7891552</v>
      </c>
      <c r="K110" s="960">
        <f t="shared" si="20"/>
        <v>30295909</v>
      </c>
      <c r="L110" s="961"/>
      <c r="M110" s="961"/>
      <c r="N110" s="961"/>
      <c r="O110" s="962">
        <f>O100+O105+O109</f>
        <v>5452866</v>
      </c>
      <c r="P110" s="960">
        <f t="shared" si="20"/>
        <v>0</v>
      </c>
      <c r="Q110" s="960">
        <f t="shared" si="20"/>
        <v>5452866</v>
      </c>
      <c r="R110" s="958">
        <f t="shared" si="20"/>
        <v>16951491</v>
      </c>
    </row>
    <row r="111" spans="1:18" ht="18" customHeight="1" thickBot="1">
      <c r="A111" s="1321" t="s">
        <v>916</v>
      </c>
      <c r="B111" s="1322"/>
      <c r="C111" s="1322"/>
      <c r="D111" s="1322"/>
      <c r="E111" s="1322"/>
      <c r="F111" s="1323"/>
      <c r="G111" s="972">
        <f>G84+G110</f>
        <v>1238085771</v>
      </c>
      <c r="H111" s="973">
        <f t="shared" ref="H111:R111" si="21">H84+H110</f>
        <v>50657605</v>
      </c>
      <c r="I111" s="973">
        <f t="shared" si="21"/>
        <v>1288743376</v>
      </c>
      <c r="J111" s="973">
        <f t="shared" si="21"/>
        <v>735301172</v>
      </c>
      <c r="K111" s="973">
        <f>K84+K110</f>
        <v>569225308</v>
      </c>
      <c r="L111" s="974"/>
      <c r="M111" s="974"/>
      <c r="N111" s="975"/>
      <c r="O111" s="976">
        <f t="shared" si="21"/>
        <v>248462334</v>
      </c>
      <c r="P111" s="973">
        <f t="shared" si="21"/>
        <v>0</v>
      </c>
      <c r="Q111" s="977">
        <f t="shared" si="21"/>
        <v>975871954</v>
      </c>
      <c r="R111" s="972">
        <f t="shared" si="21"/>
        <v>312871422</v>
      </c>
    </row>
    <row r="112" spans="1:18" ht="18" customHeight="1"/>
    <row r="113" spans="1:19" ht="18" customHeight="1"/>
    <row r="114" spans="1:19" ht="25" customHeight="1" thickBot="1">
      <c r="B114" s="978" t="s">
        <v>917</v>
      </c>
    </row>
    <row r="115" spans="1:19" s="984" customFormat="1" ht="18" customHeight="1">
      <c r="A115" s="979" t="s">
        <v>723</v>
      </c>
      <c r="B115" s="980" t="s">
        <v>724</v>
      </c>
      <c r="C115" s="981" t="s">
        <v>725</v>
      </c>
      <c r="D115" s="981" t="s">
        <v>726</v>
      </c>
      <c r="E115" s="981" t="s">
        <v>727</v>
      </c>
      <c r="F115" s="981" t="s">
        <v>728</v>
      </c>
      <c r="G115" s="982" t="s">
        <v>448</v>
      </c>
      <c r="H115" s="980" t="s">
        <v>729</v>
      </c>
      <c r="I115" s="981" t="s">
        <v>730</v>
      </c>
      <c r="J115" s="981" t="s">
        <v>731</v>
      </c>
      <c r="K115" s="981" t="s">
        <v>732</v>
      </c>
      <c r="L115" s="981" t="s">
        <v>733</v>
      </c>
      <c r="M115" s="981" t="s">
        <v>734</v>
      </c>
      <c r="N115" s="981" t="s">
        <v>735</v>
      </c>
      <c r="O115" s="983" t="s">
        <v>449</v>
      </c>
      <c r="P115" s="981" t="s">
        <v>736</v>
      </c>
      <c r="Q115" s="981" t="s">
        <v>450</v>
      </c>
      <c r="R115" s="982" t="s">
        <v>451</v>
      </c>
    </row>
    <row r="116" spans="1:19" ht="18" customHeight="1">
      <c r="A116" s="985" t="s">
        <v>918</v>
      </c>
      <c r="B116" s="986" t="s">
        <v>919</v>
      </c>
      <c r="C116" s="921" t="s">
        <v>900</v>
      </c>
      <c r="D116" s="886">
        <v>202</v>
      </c>
      <c r="E116" s="887" t="s">
        <v>920</v>
      </c>
      <c r="F116" s="886" t="s">
        <v>921</v>
      </c>
      <c r="G116" s="888">
        <v>513077</v>
      </c>
      <c r="H116" s="889">
        <v>0</v>
      </c>
      <c r="I116" s="890">
        <v>513077</v>
      </c>
      <c r="J116" s="890">
        <v>509982</v>
      </c>
      <c r="K116" s="890">
        <v>513077</v>
      </c>
      <c r="L116" s="886">
        <v>20</v>
      </c>
      <c r="M116" s="886">
        <v>0.05</v>
      </c>
      <c r="N116" s="886">
        <v>12</v>
      </c>
      <c r="O116" s="891">
        <v>2095</v>
      </c>
      <c r="P116" s="890">
        <v>0</v>
      </c>
      <c r="Q116" s="890">
        <v>512077</v>
      </c>
      <c r="R116" s="888">
        <v>1000</v>
      </c>
    </row>
    <row r="117" spans="1:19" ht="18" customHeight="1">
      <c r="A117" s="985"/>
      <c r="B117" s="1264" t="s">
        <v>922</v>
      </c>
      <c r="C117" s="1264"/>
      <c r="D117" s="1264"/>
      <c r="E117" s="1264" t="s">
        <v>839</v>
      </c>
      <c r="F117" s="1265"/>
      <c r="G117" s="909">
        <v>513077</v>
      </c>
      <c r="H117" s="910"/>
      <c r="I117" s="911">
        <v>513077</v>
      </c>
      <c r="J117" s="911">
        <v>509982</v>
      </c>
      <c r="K117" s="911">
        <v>513077</v>
      </c>
      <c r="L117" s="912"/>
      <c r="M117" s="965"/>
      <c r="N117" s="912"/>
      <c r="O117" s="913">
        <v>2095</v>
      </c>
      <c r="P117" s="911"/>
      <c r="Q117" s="911">
        <v>512077</v>
      </c>
      <c r="R117" s="909">
        <v>1000</v>
      </c>
    </row>
    <row r="118" spans="1:19" ht="18" customHeight="1">
      <c r="A118" s="985"/>
      <c r="B118" s="1324" t="s">
        <v>770</v>
      </c>
      <c r="C118" s="1327" t="s">
        <v>900</v>
      </c>
      <c r="D118" s="886">
        <v>6</v>
      </c>
      <c r="E118" s="887" t="s">
        <v>923</v>
      </c>
      <c r="F118" s="886" t="s">
        <v>924</v>
      </c>
      <c r="G118" s="888">
        <v>21032225</v>
      </c>
      <c r="H118" s="889">
        <v>0</v>
      </c>
      <c r="I118" s="890">
        <v>21032225</v>
      </c>
      <c r="J118" s="890">
        <v>21031225</v>
      </c>
      <c r="K118" s="890">
        <v>21032225</v>
      </c>
      <c r="L118" s="886">
        <v>5</v>
      </c>
      <c r="M118" s="886">
        <v>0.2</v>
      </c>
      <c r="N118" s="886">
        <v>12</v>
      </c>
      <c r="O118" s="891">
        <v>0</v>
      </c>
      <c r="P118" s="890">
        <v>0</v>
      </c>
      <c r="Q118" s="890">
        <v>21031225</v>
      </c>
      <c r="R118" s="888">
        <v>1000</v>
      </c>
    </row>
    <row r="119" spans="1:19" ht="18" customHeight="1">
      <c r="A119" s="985"/>
      <c r="B119" s="1325"/>
      <c r="C119" s="1328"/>
      <c r="D119" s="892">
        <v>7</v>
      </c>
      <c r="E119" s="893" t="s">
        <v>925</v>
      </c>
      <c r="F119" s="892" t="s">
        <v>926</v>
      </c>
      <c r="G119" s="894">
        <v>16959569</v>
      </c>
      <c r="H119" s="895">
        <v>0</v>
      </c>
      <c r="I119" s="896">
        <v>16959569</v>
      </c>
      <c r="J119" s="896">
        <v>13284993</v>
      </c>
      <c r="K119" s="896">
        <v>16959569</v>
      </c>
      <c r="L119" s="892">
        <v>5</v>
      </c>
      <c r="M119" s="892">
        <v>0.2</v>
      </c>
      <c r="N119" s="892">
        <v>12</v>
      </c>
      <c r="O119" s="897">
        <v>3391913</v>
      </c>
      <c r="P119" s="896">
        <v>0</v>
      </c>
      <c r="Q119" s="896">
        <v>16676906</v>
      </c>
      <c r="R119" s="894">
        <v>282663</v>
      </c>
    </row>
    <row r="120" spans="1:19" ht="18" customHeight="1">
      <c r="A120" s="985"/>
      <c r="B120" s="1325"/>
      <c r="C120" s="1329"/>
      <c r="D120" s="1311" t="s">
        <v>907</v>
      </c>
      <c r="E120" s="1312"/>
      <c r="F120" s="1313"/>
      <c r="G120" s="987">
        <f>SUM(G118:G119)</f>
        <v>37991794</v>
      </c>
      <c r="H120" s="988">
        <f>SUM(H118:H119)</f>
        <v>0</v>
      </c>
      <c r="I120" s="989">
        <f>SUM(I118:I119)</f>
        <v>37991794</v>
      </c>
      <c r="J120" s="989">
        <f>SUM(J118:J119)</f>
        <v>34316218</v>
      </c>
      <c r="K120" s="989">
        <f>SUM(K118:K119)</f>
        <v>37991794</v>
      </c>
      <c r="L120" s="990"/>
      <c r="M120" s="990"/>
      <c r="N120" s="990"/>
      <c r="O120" s="989">
        <f>SUM(O118:O119)</f>
        <v>3391913</v>
      </c>
      <c r="P120" s="989">
        <f>SUM(P118:P119)</f>
        <v>0</v>
      </c>
      <c r="Q120" s="989">
        <f>SUM(Q118:Q119)</f>
        <v>37708131</v>
      </c>
      <c r="R120" s="987">
        <f>SUM(R118:R119)</f>
        <v>283663</v>
      </c>
      <c r="S120" s="871" t="s">
        <v>927</v>
      </c>
    </row>
    <row r="121" spans="1:19" ht="18" customHeight="1">
      <c r="A121" s="985"/>
      <c r="B121" s="1325"/>
      <c r="C121" s="1285" t="s">
        <v>739</v>
      </c>
      <c r="D121" s="883">
        <v>8</v>
      </c>
      <c r="E121" s="903" t="s">
        <v>928</v>
      </c>
      <c r="F121" s="883" t="s">
        <v>929</v>
      </c>
      <c r="G121" s="885">
        <v>96681120</v>
      </c>
      <c r="H121" s="881">
        <v>0</v>
      </c>
      <c r="I121" s="882">
        <v>96681120</v>
      </c>
      <c r="J121" s="882">
        <v>63551641</v>
      </c>
      <c r="K121" s="882">
        <v>33129479</v>
      </c>
      <c r="L121" s="883">
        <v>5</v>
      </c>
      <c r="M121" s="883">
        <v>0.45100000000000001</v>
      </c>
      <c r="N121" s="883">
        <v>12</v>
      </c>
      <c r="O121" s="884">
        <v>14941395</v>
      </c>
      <c r="P121" s="882">
        <v>0</v>
      </c>
      <c r="Q121" s="882">
        <v>78493036</v>
      </c>
      <c r="R121" s="885">
        <v>18188084</v>
      </c>
    </row>
    <row r="122" spans="1:19" ht="18" customHeight="1">
      <c r="A122" s="985"/>
      <c r="B122" s="1325"/>
      <c r="C122" s="1273"/>
      <c r="D122" s="886">
        <v>9</v>
      </c>
      <c r="E122" s="887" t="s">
        <v>930</v>
      </c>
      <c r="F122" s="886" t="s">
        <v>929</v>
      </c>
      <c r="G122" s="894">
        <v>18724176</v>
      </c>
      <c r="H122" s="895">
        <v>0</v>
      </c>
      <c r="I122" s="896">
        <v>18724176</v>
      </c>
      <c r="J122" s="896">
        <v>12308009</v>
      </c>
      <c r="K122" s="896">
        <v>6416167</v>
      </c>
      <c r="L122" s="892">
        <v>5</v>
      </c>
      <c r="M122" s="892">
        <v>0.45100000000000001</v>
      </c>
      <c r="N122" s="892">
        <v>12</v>
      </c>
      <c r="O122" s="897">
        <v>2893691</v>
      </c>
      <c r="P122" s="896">
        <v>0</v>
      </c>
      <c r="Q122" s="896">
        <v>15201700</v>
      </c>
      <c r="R122" s="894">
        <v>3522476</v>
      </c>
    </row>
    <row r="123" spans="1:19" ht="18" customHeight="1">
      <c r="A123" s="985"/>
      <c r="B123" s="1326"/>
      <c r="C123" s="1274"/>
      <c r="D123" s="1294" t="s">
        <v>755</v>
      </c>
      <c r="E123" s="1294"/>
      <c r="F123" s="1294"/>
      <c r="G123" s="898">
        <f>SUM(G121:G122)</f>
        <v>115405296</v>
      </c>
      <c r="H123" s="899">
        <f t="shared" ref="H123:R123" si="22">SUM(H121:H122)</f>
        <v>0</v>
      </c>
      <c r="I123" s="900">
        <f>SUM(I121:I122)</f>
        <v>115405296</v>
      </c>
      <c r="J123" s="900">
        <f t="shared" si="22"/>
        <v>75859650</v>
      </c>
      <c r="K123" s="900">
        <f t="shared" si="22"/>
        <v>39545646</v>
      </c>
      <c r="L123" s="963"/>
      <c r="M123" s="963"/>
      <c r="N123" s="963"/>
      <c r="O123" s="902">
        <f>SUM(O121:O122)</f>
        <v>17835086</v>
      </c>
      <c r="P123" s="900">
        <f t="shared" si="22"/>
        <v>0</v>
      </c>
      <c r="Q123" s="900">
        <f t="shared" si="22"/>
        <v>93694736</v>
      </c>
      <c r="R123" s="898">
        <f t="shared" si="22"/>
        <v>21710560</v>
      </c>
    </row>
    <row r="124" spans="1:19" ht="18" customHeight="1">
      <c r="A124" s="985"/>
      <c r="B124" s="1264" t="s">
        <v>773</v>
      </c>
      <c r="C124" s="1264"/>
      <c r="D124" s="1264"/>
      <c r="E124" s="1264"/>
      <c r="F124" s="1265"/>
      <c r="G124" s="909">
        <f>G120+G123</f>
        <v>153397090</v>
      </c>
      <c r="H124" s="910">
        <f t="shared" ref="H124:R124" si="23">H120+H123</f>
        <v>0</v>
      </c>
      <c r="I124" s="911">
        <f>I120+I123</f>
        <v>153397090</v>
      </c>
      <c r="J124" s="911">
        <f t="shared" si="23"/>
        <v>110175868</v>
      </c>
      <c r="K124" s="911">
        <f t="shared" si="23"/>
        <v>77537440</v>
      </c>
      <c r="L124" s="912"/>
      <c r="M124" s="912"/>
      <c r="N124" s="912"/>
      <c r="O124" s="913">
        <f t="shared" si="23"/>
        <v>21226999</v>
      </c>
      <c r="P124" s="911">
        <f t="shared" si="23"/>
        <v>0</v>
      </c>
      <c r="Q124" s="911">
        <f t="shared" si="23"/>
        <v>131402867</v>
      </c>
      <c r="R124" s="909">
        <f t="shared" si="23"/>
        <v>21994223</v>
      </c>
    </row>
    <row r="125" spans="1:19" ht="18" customHeight="1">
      <c r="A125" s="985"/>
      <c r="B125" s="1324" t="s">
        <v>774</v>
      </c>
      <c r="C125" s="1327" t="s">
        <v>931</v>
      </c>
      <c r="D125" s="886">
        <v>2</v>
      </c>
      <c r="E125" s="887" t="s">
        <v>932</v>
      </c>
      <c r="F125" s="886" t="s">
        <v>933</v>
      </c>
      <c r="G125" s="888">
        <v>8180000</v>
      </c>
      <c r="H125" s="889">
        <v>0</v>
      </c>
      <c r="I125" s="890">
        <v>8180000</v>
      </c>
      <c r="J125" s="890">
        <v>8179000</v>
      </c>
      <c r="K125" s="890">
        <v>1000</v>
      </c>
      <c r="L125" s="886">
        <v>5</v>
      </c>
      <c r="M125" s="886">
        <v>0.45100000000000001</v>
      </c>
      <c r="N125" s="886">
        <v>12</v>
      </c>
      <c r="O125" s="891">
        <v>0</v>
      </c>
      <c r="P125" s="890">
        <v>0</v>
      </c>
      <c r="Q125" s="890">
        <v>8179000</v>
      </c>
      <c r="R125" s="888">
        <v>1000</v>
      </c>
    </row>
    <row r="126" spans="1:19" ht="18" customHeight="1">
      <c r="A126" s="985"/>
      <c r="B126" s="1325"/>
      <c r="C126" s="1328"/>
      <c r="D126" s="886">
        <v>4</v>
      </c>
      <c r="E126" s="887" t="s">
        <v>934</v>
      </c>
      <c r="F126" s="886" t="s">
        <v>933</v>
      </c>
      <c r="G126" s="888">
        <v>8000000</v>
      </c>
      <c r="H126" s="889">
        <v>0</v>
      </c>
      <c r="I126" s="890">
        <v>8000000</v>
      </c>
      <c r="J126" s="890">
        <v>7999000</v>
      </c>
      <c r="K126" s="890">
        <v>1000</v>
      </c>
      <c r="L126" s="886">
        <v>5</v>
      </c>
      <c r="M126" s="886">
        <v>0.45100000000000001</v>
      </c>
      <c r="N126" s="886">
        <v>12</v>
      </c>
      <c r="O126" s="891">
        <v>0</v>
      </c>
      <c r="P126" s="890">
        <v>0</v>
      </c>
      <c r="Q126" s="890">
        <v>7999000</v>
      </c>
      <c r="R126" s="888">
        <v>1000</v>
      </c>
    </row>
    <row r="127" spans="1:19" ht="18" customHeight="1">
      <c r="A127" s="985"/>
      <c r="B127" s="1325"/>
      <c r="C127" s="1328"/>
      <c r="D127" s="886">
        <v>5</v>
      </c>
      <c r="E127" s="887" t="s">
        <v>935</v>
      </c>
      <c r="F127" s="886" t="s">
        <v>936</v>
      </c>
      <c r="G127" s="888">
        <v>7216200</v>
      </c>
      <c r="H127" s="889">
        <v>0</v>
      </c>
      <c r="I127" s="890">
        <v>7216200</v>
      </c>
      <c r="J127" s="890">
        <v>7215200</v>
      </c>
      <c r="K127" s="890">
        <v>1000</v>
      </c>
      <c r="L127" s="886">
        <v>5</v>
      </c>
      <c r="M127" s="886">
        <v>0.45100000000000001</v>
      </c>
      <c r="N127" s="886">
        <v>12</v>
      </c>
      <c r="O127" s="891">
        <v>0</v>
      </c>
      <c r="P127" s="890">
        <v>0</v>
      </c>
      <c r="Q127" s="890">
        <v>7215200</v>
      </c>
      <c r="R127" s="888">
        <v>1000</v>
      </c>
    </row>
    <row r="128" spans="1:19" ht="18" customHeight="1">
      <c r="A128" s="985"/>
      <c r="B128" s="1325"/>
      <c r="C128" s="1328"/>
      <c r="D128" s="886">
        <v>8</v>
      </c>
      <c r="E128" s="887" t="s">
        <v>937</v>
      </c>
      <c r="F128" s="886" t="s">
        <v>938</v>
      </c>
      <c r="G128" s="888">
        <v>2018182</v>
      </c>
      <c r="H128" s="889">
        <v>0</v>
      </c>
      <c r="I128" s="890">
        <v>2018182</v>
      </c>
      <c r="J128" s="890">
        <v>2017182</v>
      </c>
      <c r="K128" s="890">
        <v>1000</v>
      </c>
      <c r="L128" s="886">
        <v>5</v>
      </c>
      <c r="M128" s="886">
        <v>0.45100000000000001</v>
      </c>
      <c r="N128" s="886">
        <v>12</v>
      </c>
      <c r="O128" s="891">
        <v>0</v>
      </c>
      <c r="P128" s="890">
        <v>0</v>
      </c>
      <c r="Q128" s="890">
        <v>2017182</v>
      </c>
      <c r="R128" s="888">
        <v>1000</v>
      </c>
    </row>
    <row r="129" spans="1:18" ht="18" customHeight="1">
      <c r="A129" s="985"/>
      <c r="B129" s="1325"/>
      <c r="C129" s="1328"/>
      <c r="D129" s="886">
        <v>11</v>
      </c>
      <c r="E129" s="887" t="s">
        <v>939</v>
      </c>
      <c r="F129" s="886" t="s">
        <v>940</v>
      </c>
      <c r="G129" s="888">
        <v>7638091</v>
      </c>
      <c r="H129" s="889">
        <v>0</v>
      </c>
      <c r="I129" s="890">
        <v>7638091</v>
      </c>
      <c r="J129" s="890">
        <v>7637091</v>
      </c>
      <c r="K129" s="890">
        <v>1000</v>
      </c>
      <c r="L129" s="886">
        <v>5</v>
      </c>
      <c r="M129" s="886">
        <v>0.45100000000000001</v>
      </c>
      <c r="N129" s="886">
        <v>12</v>
      </c>
      <c r="O129" s="891">
        <v>0</v>
      </c>
      <c r="P129" s="890">
        <v>0</v>
      </c>
      <c r="Q129" s="890">
        <v>7637091</v>
      </c>
      <c r="R129" s="888">
        <v>1000</v>
      </c>
    </row>
    <row r="130" spans="1:18" ht="18" customHeight="1">
      <c r="A130" s="985"/>
      <c r="B130" s="1325"/>
      <c r="C130" s="1328"/>
      <c r="D130" s="886">
        <v>12</v>
      </c>
      <c r="E130" s="887" t="s">
        <v>941</v>
      </c>
      <c r="F130" s="886" t="s">
        <v>942</v>
      </c>
      <c r="G130" s="888">
        <v>3660000</v>
      </c>
      <c r="H130" s="889">
        <v>0</v>
      </c>
      <c r="I130" s="890">
        <v>3660000</v>
      </c>
      <c r="J130" s="890">
        <v>3659000</v>
      </c>
      <c r="K130" s="890">
        <v>1000</v>
      </c>
      <c r="L130" s="886">
        <v>5</v>
      </c>
      <c r="M130" s="886">
        <v>0.45100000000000001</v>
      </c>
      <c r="N130" s="886">
        <v>12</v>
      </c>
      <c r="O130" s="891">
        <v>0</v>
      </c>
      <c r="P130" s="890">
        <v>0</v>
      </c>
      <c r="Q130" s="890">
        <v>3659000</v>
      </c>
      <c r="R130" s="888">
        <v>1000</v>
      </c>
    </row>
    <row r="131" spans="1:18" ht="18" customHeight="1">
      <c r="A131" s="985"/>
      <c r="B131" s="1325"/>
      <c r="C131" s="1328"/>
      <c r="D131" s="886">
        <v>14</v>
      </c>
      <c r="E131" s="887" t="s">
        <v>941</v>
      </c>
      <c r="F131" s="886" t="s">
        <v>943</v>
      </c>
      <c r="G131" s="888">
        <v>2440000</v>
      </c>
      <c r="H131" s="889">
        <v>0</v>
      </c>
      <c r="I131" s="890">
        <v>2440000</v>
      </c>
      <c r="J131" s="890">
        <v>2439000</v>
      </c>
      <c r="K131" s="890">
        <v>1000</v>
      </c>
      <c r="L131" s="886">
        <v>5</v>
      </c>
      <c r="M131" s="886">
        <v>0.45100000000000001</v>
      </c>
      <c r="N131" s="886">
        <v>12</v>
      </c>
      <c r="O131" s="891">
        <v>0</v>
      </c>
      <c r="P131" s="890">
        <v>0</v>
      </c>
      <c r="Q131" s="890">
        <v>2439000</v>
      </c>
      <c r="R131" s="888">
        <v>1000</v>
      </c>
    </row>
    <row r="132" spans="1:18" ht="18" customHeight="1">
      <c r="A132" s="985"/>
      <c r="B132" s="1325"/>
      <c r="C132" s="1328"/>
      <c r="D132" s="886">
        <v>16</v>
      </c>
      <c r="E132" s="887" t="s">
        <v>944</v>
      </c>
      <c r="F132" s="886" t="s">
        <v>945</v>
      </c>
      <c r="G132" s="888">
        <v>1469000</v>
      </c>
      <c r="H132" s="889">
        <v>0</v>
      </c>
      <c r="I132" s="890">
        <v>1469000</v>
      </c>
      <c r="J132" s="890">
        <v>1468000</v>
      </c>
      <c r="K132" s="890">
        <v>1000</v>
      </c>
      <c r="L132" s="886">
        <v>5</v>
      </c>
      <c r="M132" s="886">
        <v>0.45100000000000001</v>
      </c>
      <c r="N132" s="886">
        <v>12</v>
      </c>
      <c r="O132" s="891">
        <v>0</v>
      </c>
      <c r="P132" s="890">
        <v>0</v>
      </c>
      <c r="Q132" s="890">
        <v>1468000</v>
      </c>
      <c r="R132" s="888">
        <v>1000</v>
      </c>
    </row>
    <row r="133" spans="1:18" ht="18" customHeight="1">
      <c r="A133" s="985"/>
      <c r="B133" s="1325"/>
      <c r="C133" s="1328"/>
      <c r="D133" s="886">
        <v>17</v>
      </c>
      <c r="E133" s="887" t="s">
        <v>946</v>
      </c>
      <c r="F133" s="886" t="s">
        <v>947</v>
      </c>
      <c r="G133" s="888">
        <v>4000000</v>
      </c>
      <c r="H133" s="889">
        <v>0</v>
      </c>
      <c r="I133" s="890">
        <v>4000000</v>
      </c>
      <c r="J133" s="890">
        <v>3999000</v>
      </c>
      <c r="K133" s="890">
        <v>1000</v>
      </c>
      <c r="L133" s="886">
        <v>5</v>
      </c>
      <c r="M133" s="886">
        <v>0.45100000000000001</v>
      </c>
      <c r="N133" s="886">
        <v>12</v>
      </c>
      <c r="O133" s="891">
        <v>0</v>
      </c>
      <c r="P133" s="890">
        <v>0</v>
      </c>
      <c r="Q133" s="890">
        <v>3999000</v>
      </c>
      <c r="R133" s="888">
        <v>1000</v>
      </c>
    </row>
    <row r="134" spans="1:18" ht="18" customHeight="1">
      <c r="A134" s="985"/>
      <c r="B134" s="1325"/>
      <c r="C134" s="1328"/>
      <c r="D134" s="886">
        <v>18</v>
      </c>
      <c r="E134" s="887" t="s">
        <v>948</v>
      </c>
      <c r="F134" s="886" t="s">
        <v>949</v>
      </c>
      <c r="G134" s="888">
        <v>1320000</v>
      </c>
      <c r="H134" s="889">
        <v>0</v>
      </c>
      <c r="I134" s="890">
        <v>1320000</v>
      </c>
      <c r="J134" s="890">
        <v>1319000</v>
      </c>
      <c r="K134" s="890">
        <v>1000</v>
      </c>
      <c r="L134" s="886">
        <v>5</v>
      </c>
      <c r="M134" s="886">
        <v>0.45100000000000001</v>
      </c>
      <c r="N134" s="886">
        <v>12</v>
      </c>
      <c r="O134" s="891">
        <v>0</v>
      </c>
      <c r="P134" s="890">
        <v>0</v>
      </c>
      <c r="Q134" s="890">
        <v>1319000</v>
      </c>
      <c r="R134" s="888">
        <v>1000</v>
      </c>
    </row>
    <row r="135" spans="1:18" ht="18" customHeight="1">
      <c r="A135" s="985"/>
      <c r="B135" s="1325"/>
      <c r="C135" s="1328"/>
      <c r="D135" s="886">
        <v>50</v>
      </c>
      <c r="E135" s="887" t="s">
        <v>950</v>
      </c>
      <c r="F135" s="886" t="s">
        <v>951</v>
      </c>
      <c r="G135" s="888">
        <v>2758800</v>
      </c>
      <c r="H135" s="889">
        <v>0</v>
      </c>
      <c r="I135" s="890">
        <v>2758800</v>
      </c>
      <c r="J135" s="890">
        <v>2757800</v>
      </c>
      <c r="K135" s="890">
        <v>1000</v>
      </c>
      <c r="L135" s="886">
        <v>5</v>
      </c>
      <c r="M135" s="886">
        <v>0.45100000000000001</v>
      </c>
      <c r="N135" s="886">
        <v>12</v>
      </c>
      <c r="O135" s="891">
        <v>0</v>
      </c>
      <c r="P135" s="890">
        <v>0</v>
      </c>
      <c r="Q135" s="890">
        <v>2757800</v>
      </c>
      <c r="R135" s="888">
        <v>1000</v>
      </c>
    </row>
    <row r="136" spans="1:18" ht="18" customHeight="1">
      <c r="A136" s="985"/>
      <c r="B136" s="1325"/>
      <c r="C136" s="1328"/>
      <c r="D136" s="886">
        <v>49</v>
      </c>
      <c r="E136" s="887" t="s">
        <v>952</v>
      </c>
      <c r="F136" s="886" t="s">
        <v>953</v>
      </c>
      <c r="G136" s="888">
        <v>1253000</v>
      </c>
      <c r="H136" s="889">
        <v>0</v>
      </c>
      <c r="I136" s="890">
        <v>1253000</v>
      </c>
      <c r="J136" s="890">
        <v>1252000</v>
      </c>
      <c r="K136" s="890">
        <v>1000</v>
      </c>
      <c r="L136" s="886">
        <v>5</v>
      </c>
      <c r="M136" s="886">
        <v>0.45100000000000001</v>
      </c>
      <c r="N136" s="886">
        <v>12</v>
      </c>
      <c r="O136" s="891">
        <v>0</v>
      </c>
      <c r="P136" s="890">
        <v>0</v>
      </c>
      <c r="Q136" s="890">
        <v>1252000</v>
      </c>
      <c r="R136" s="888">
        <v>1000</v>
      </c>
    </row>
    <row r="137" spans="1:18" ht="18" customHeight="1">
      <c r="A137" s="985"/>
      <c r="B137" s="1325"/>
      <c r="C137" s="1328"/>
      <c r="D137" s="886">
        <v>52</v>
      </c>
      <c r="E137" s="887" t="s">
        <v>954</v>
      </c>
      <c r="F137" s="886" t="s">
        <v>955</v>
      </c>
      <c r="G137" s="888">
        <v>1560000</v>
      </c>
      <c r="H137" s="889">
        <v>0</v>
      </c>
      <c r="I137" s="890">
        <v>1560000</v>
      </c>
      <c r="J137" s="890">
        <v>1559000</v>
      </c>
      <c r="K137" s="890">
        <v>1000</v>
      </c>
      <c r="L137" s="886">
        <v>5</v>
      </c>
      <c r="M137" s="886">
        <v>0.45100000000000001</v>
      </c>
      <c r="N137" s="886">
        <v>12</v>
      </c>
      <c r="O137" s="891">
        <v>0</v>
      </c>
      <c r="P137" s="890">
        <v>0</v>
      </c>
      <c r="Q137" s="890">
        <v>1559000</v>
      </c>
      <c r="R137" s="888">
        <v>1000</v>
      </c>
    </row>
    <row r="138" spans="1:18" ht="18" customHeight="1">
      <c r="A138" s="985"/>
      <c r="B138" s="1325"/>
      <c r="C138" s="1328"/>
      <c r="D138" s="886">
        <v>51</v>
      </c>
      <c r="E138" s="887" t="s">
        <v>956</v>
      </c>
      <c r="F138" s="886" t="s">
        <v>957</v>
      </c>
      <c r="G138" s="888">
        <v>2726364</v>
      </c>
      <c r="H138" s="889">
        <v>0</v>
      </c>
      <c r="I138" s="890">
        <v>2726364</v>
      </c>
      <c r="J138" s="890">
        <v>2725364</v>
      </c>
      <c r="K138" s="890">
        <v>1000</v>
      </c>
      <c r="L138" s="886">
        <v>5</v>
      </c>
      <c r="M138" s="886">
        <v>0.45100000000000001</v>
      </c>
      <c r="N138" s="886">
        <v>12</v>
      </c>
      <c r="O138" s="891">
        <v>0</v>
      </c>
      <c r="P138" s="890">
        <v>0</v>
      </c>
      <c r="Q138" s="890">
        <v>2725364</v>
      </c>
      <c r="R138" s="888">
        <v>1000</v>
      </c>
    </row>
    <row r="139" spans="1:18" ht="18" customHeight="1">
      <c r="A139" s="985"/>
      <c r="B139" s="1325"/>
      <c r="C139" s="1328"/>
      <c r="D139" s="886">
        <v>53</v>
      </c>
      <c r="E139" s="887" t="s">
        <v>958</v>
      </c>
      <c r="F139" s="886" t="s">
        <v>959</v>
      </c>
      <c r="G139" s="888">
        <v>1217173</v>
      </c>
      <c r="H139" s="889">
        <v>0</v>
      </c>
      <c r="I139" s="890">
        <v>1217173</v>
      </c>
      <c r="J139" s="890">
        <v>1216173</v>
      </c>
      <c r="K139" s="890">
        <v>1000</v>
      </c>
      <c r="L139" s="886">
        <v>5</v>
      </c>
      <c r="M139" s="886">
        <v>0.45100000000000001</v>
      </c>
      <c r="N139" s="886">
        <v>12</v>
      </c>
      <c r="O139" s="891">
        <v>0</v>
      </c>
      <c r="P139" s="890">
        <v>0</v>
      </c>
      <c r="Q139" s="890">
        <v>1216173</v>
      </c>
      <c r="R139" s="888">
        <v>1000</v>
      </c>
    </row>
    <row r="140" spans="1:18" ht="18" customHeight="1">
      <c r="A140" s="985"/>
      <c r="B140" s="1325"/>
      <c r="C140" s="1328"/>
      <c r="D140" s="886">
        <v>54</v>
      </c>
      <c r="E140" s="887" t="s">
        <v>960</v>
      </c>
      <c r="F140" s="886" t="s">
        <v>961</v>
      </c>
      <c r="G140" s="888">
        <v>1283627</v>
      </c>
      <c r="H140" s="889">
        <v>0</v>
      </c>
      <c r="I140" s="890">
        <v>1283627</v>
      </c>
      <c r="J140" s="890">
        <v>1282627</v>
      </c>
      <c r="K140" s="890">
        <v>1000</v>
      </c>
      <c r="L140" s="886">
        <v>5</v>
      </c>
      <c r="M140" s="886">
        <v>0.45100000000000001</v>
      </c>
      <c r="N140" s="886">
        <v>12</v>
      </c>
      <c r="O140" s="891">
        <v>0</v>
      </c>
      <c r="P140" s="890">
        <v>0</v>
      </c>
      <c r="Q140" s="890">
        <v>1282627</v>
      </c>
      <c r="R140" s="888">
        <v>1000</v>
      </c>
    </row>
    <row r="141" spans="1:18" ht="18" customHeight="1">
      <c r="A141" s="985"/>
      <c r="B141" s="1325"/>
      <c r="C141" s="1328"/>
      <c r="D141" s="886">
        <v>55</v>
      </c>
      <c r="E141" s="887" t="s">
        <v>962</v>
      </c>
      <c r="F141" s="886" t="s">
        <v>963</v>
      </c>
      <c r="G141" s="888">
        <v>4162400</v>
      </c>
      <c r="H141" s="889">
        <v>0</v>
      </c>
      <c r="I141" s="890">
        <v>4162400</v>
      </c>
      <c r="J141" s="890">
        <v>4161400</v>
      </c>
      <c r="K141" s="890">
        <v>1000</v>
      </c>
      <c r="L141" s="886">
        <v>5</v>
      </c>
      <c r="M141" s="886">
        <v>0.45100000000000001</v>
      </c>
      <c r="N141" s="886">
        <v>12</v>
      </c>
      <c r="O141" s="891">
        <v>0</v>
      </c>
      <c r="P141" s="890">
        <v>0</v>
      </c>
      <c r="Q141" s="890">
        <v>4161400</v>
      </c>
      <c r="R141" s="888">
        <v>1000</v>
      </c>
    </row>
    <row r="142" spans="1:18" ht="18" customHeight="1">
      <c r="A142" s="985"/>
      <c r="B142" s="1325"/>
      <c r="C142" s="1328"/>
      <c r="D142" s="886">
        <v>56</v>
      </c>
      <c r="E142" s="887" t="s">
        <v>964</v>
      </c>
      <c r="F142" s="886" t="s">
        <v>965</v>
      </c>
      <c r="G142" s="888">
        <v>1544545</v>
      </c>
      <c r="H142" s="889">
        <v>0</v>
      </c>
      <c r="I142" s="890">
        <v>1544545</v>
      </c>
      <c r="J142" s="890">
        <v>1543545</v>
      </c>
      <c r="K142" s="890">
        <v>1000</v>
      </c>
      <c r="L142" s="886">
        <v>5</v>
      </c>
      <c r="M142" s="886">
        <v>0.45100000000000001</v>
      </c>
      <c r="N142" s="886">
        <v>12</v>
      </c>
      <c r="O142" s="891">
        <v>0</v>
      </c>
      <c r="P142" s="890">
        <v>0</v>
      </c>
      <c r="Q142" s="890">
        <v>1543545</v>
      </c>
      <c r="R142" s="888">
        <v>1000</v>
      </c>
    </row>
    <row r="143" spans="1:18" ht="18" customHeight="1">
      <c r="A143" s="985"/>
      <c r="B143" s="1325"/>
      <c r="C143" s="1328"/>
      <c r="D143" s="886">
        <v>57</v>
      </c>
      <c r="E143" s="887" t="s">
        <v>966</v>
      </c>
      <c r="F143" s="886" t="s">
        <v>967</v>
      </c>
      <c r="G143" s="888">
        <v>2370001</v>
      </c>
      <c r="H143" s="889">
        <v>0</v>
      </c>
      <c r="I143" s="890">
        <v>2370001</v>
      </c>
      <c r="J143" s="890">
        <v>2369001</v>
      </c>
      <c r="K143" s="890">
        <v>1000</v>
      </c>
      <c r="L143" s="886">
        <v>5</v>
      </c>
      <c r="M143" s="886">
        <v>0.45100000000000001</v>
      </c>
      <c r="N143" s="886">
        <v>12</v>
      </c>
      <c r="O143" s="891">
        <v>0</v>
      </c>
      <c r="P143" s="890">
        <v>0</v>
      </c>
      <c r="Q143" s="890">
        <v>2369001</v>
      </c>
      <c r="R143" s="888">
        <v>1000</v>
      </c>
    </row>
    <row r="144" spans="1:18" ht="18" customHeight="1">
      <c r="A144" s="985"/>
      <c r="B144" s="1325"/>
      <c r="C144" s="1328"/>
      <c r="D144" s="886">
        <v>59</v>
      </c>
      <c r="E144" s="887" t="s">
        <v>968</v>
      </c>
      <c r="F144" s="886" t="s">
        <v>969</v>
      </c>
      <c r="G144" s="888">
        <v>1054546</v>
      </c>
      <c r="H144" s="889">
        <v>0</v>
      </c>
      <c r="I144" s="890">
        <v>1054546</v>
      </c>
      <c r="J144" s="890">
        <v>1053546</v>
      </c>
      <c r="K144" s="890">
        <v>1000</v>
      </c>
      <c r="L144" s="886">
        <v>5</v>
      </c>
      <c r="M144" s="886">
        <v>0.45100000000000001</v>
      </c>
      <c r="N144" s="886">
        <v>12</v>
      </c>
      <c r="O144" s="891">
        <v>0</v>
      </c>
      <c r="P144" s="890">
        <v>0</v>
      </c>
      <c r="Q144" s="890">
        <v>1053546</v>
      </c>
      <c r="R144" s="888">
        <v>1000</v>
      </c>
    </row>
    <row r="145" spans="1:18" ht="18" customHeight="1">
      <c r="A145" s="985"/>
      <c r="B145" s="1325"/>
      <c r="C145" s="1328"/>
      <c r="D145" s="886">
        <v>10</v>
      </c>
      <c r="E145" s="887" t="s">
        <v>970</v>
      </c>
      <c r="F145" s="886" t="s">
        <v>971</v>
      </c>
      <c r="G145" s="888">
        <v>1020000</v>
      </c>
      <c r="H145" s="889">
        <v>0</v>
      </c>
      <c r="I145" s="890">
        <v>1020000</v>
      </c>
      <c r="J145" s="890">
        <v>1019000</v>
      </c>
      <c r="K145" s="890">
        <v>1000</v>
      </c>
      <c r="L145" s="886">
        <v>5</v>
      </c>
      <c r="M145" s="886">
        <v>0.45100000000000001</v>
      </c>
      <c r="N145" s="886">
        <v>12</v>
      </c>
      <c r="O145" s="891">
        <v>0</v>
      </c>
      <c r="P145" s="890">
        <v>0</v>
      </c>
      <c r="Q145" s="890">
        <v>1019000</v>
      </c>
      <c r="R145" s="888">
        <v>1000</v>
      </c>
    </row>
    <row r="146" spans="1:18" ht="18" customHeight="1">
      <c r="A146" s="985"/>
      <c r="B146" s="1325"/>
      <c r="C146" s="1328"/>
      <c r="D146" s="886">
        <v>13</v>
      </c>
      <c r="E146" s="887" t="s">
        <v>972</v>
      </c>
      <c r="F146" s="886" t="s">
        <v>973</v>
      </c>
      <c r="G146" s="888">
        <v>2250000</v>
      </c>
      <c r="H146" s="889">
        <v>0</v>
      </c>
      <c r="I146" s="890">
        <v>2250000</v>
      </c>
      <c r="J146" s="890">
        <v>2249000</v>
      </c>
      <c r="K146" s="890">
        <v>1000</v>
      </c>
      <c r="L146" s="886">
        <v>5</v>
      </c>
      <c r="M146" s="886">
        <v>0.45100000000000001</v>
      </c>
      <c r="N146" s="886">
        <v>12</v>
      </c>
      <c r="O146" s="891">
        <v>0</v>
      </c>
      <c r="P146" s="890">
        <v>0</v>
      </c>
      <c r="Q146" s="890">
        <v>2249000</v>
      </c>
      <c r="R146" s="888">
        <v>1000</v>
      </c>
    </row>
    <row r="147" spans="1:18" ht="18" customHeight="1">
      <c r="A147" s="985"/>
      <c r="B147" s="1325"/>
      <c r="C147" s="1328"/>
      <c r="D147" s="886">
        <v>15</v>
      </c>
      <c r="E147" s="887" t="s">
        <v>972</v>
      </c>
      <c r="F147" s="886" t="s">
        <v>974</v>
      </c>
      <c r="G147" s="894">
        <v>750000</v>
      </c>
      <c r="H147" s="895">
        <v>0</v>
      </c>
      <c r="I147" s="896">
        <v>750000</v>
      </c>
      <c r="J147" s="896">
        <v>749000</v>
      </c>
      <c r="K147" s="896">
        <v>1000</v>
      </c>
      <c r="L147" s="892">
        <v>5</v>
      </c>
      <c r="M147" s="892">
        <v>0.45100000000000001</v>
      </c>
      <c r="N147" s="892">
        <v>12</v>
      </c>
      <c r="O147" s="897">
        <v>0</v>
      </c>
      <c r="P147" s="896">
        <v>0</v>
      </c>
      <c r="Q147" s="896">
        <v>749000</v>
      </c>
      <c r="R147" s="894">
        <v>1000</v>
      </c>
    </row>
    <row r="148" spans="1:18" ht="18" customHeight="1">
      <c r="A148" s="985"/>
      <c r="B148" s="1325"/>
      <c r="C148" s="1329"/>
      <c r="D148" s="1334" t="s">
        <v>907</v>
      </c>
      <c r="E148" s="1334"/>
      <c r="F148" s="1334"/>
      <c r="G148" s="966">
        <f>SUM(G125:G147)</f>
        <v>69891929</v>
      </c>
      <c r="H148" s="967">
        <f t="shared" ref="H148:K148" si="24">SUM(H125:H147)</f>
        <v>0</v>
      </c>
      <c r="I148" s="968">
        <f t="shared" si="24"/>
        <v>69891929</v>
      </c>
      <c r="J148" s="968">
        <f t="shared" si="24"/>
        <v>69868929</v>
      </c>
      <c r="K148" s="968">
        <f t="shared" si="24"/>
        <v>23000</v>
      </c>
      <c r="L148" s="969"/>
      <c r="M148" s="969"/>
      <c r="N148" s="969"/>
      <c r="O148" s="970">
        <f>SUM(O125:O147)</f>
        <v>0</v>
      </c>
      <c r="P148" s="968">
        <f>SUM(P125:P147)</f>
        <v>0</v>
      </c>
      <c r="Q148" s="968">
        <f>SUM(Q125:Q147)</f>
        <v>69868929</v>
      </c>
      <c r="R148" s="966">
        <f>SUM(R125:R147)</f>
        <v>23000</v>
      </c>
    </row>
    <row r="149" spans="1:18" ht="18" customHeight="1">
      <c r="A149" s="985"/>
      <c r="B149" s="1325"/>
      <c r="C149" s="1278" t="s">
        <v>756</v>
      </c>
      <c r="D149" s="886">
        <v>22</v>
      </c>
      <c r="E149" s="887" t="s">
        <v>975</v>
      </c>
      <c r="F149" s="886" t="s">
        <v>976</v>
      </c>
      <c r="G149" s="916">
        <v>1168181</v>
      </c>
      <c r="H149" s="917">
        <v>0</v>
      </c>
      <c r="I149" s="918">
        <v>1168181</v>
      </c>
      <c r="J149" s="918">
        <v>175616</v>
      </c>
      <c r="K149" s="918">
        <v>992565</v>
      </c>
      <c r="L149" s="919">
        <v>5</v>
      </c>
      <c r="M149" s="919">
        <v>0.45100000000000001</v>
      </c>
      <c r="N149" s="919">
        <v>12</v>
      </c>
      <c r="O149" s="920">
        <v>447646</v>
      </c>
      <c r="P149" s="918">
        <v>0</v>
      </c>
      <c r="Q149" s="918">
        <v>623262</v>
      </c>
      <c r="R149" s="916">
        <v>544919</v>
      </c>
    </row>
    <row r="150" spans="1:18" ht="18" customHeight="1">
      <c r="A150" s="985"/>
      <c r="B150" s="1325"/>
      <c r="C150" s="1280"/>
      <c r="D150" s="1296" t="s">
        <v>768</v>
      </c>
      <c r="E150" s="1296"/>
      <c r="F150" s="1296"/>
      <c r="G150" s="928">
        <f>SUM(G149)</f>
        <v>1168181</v>
      </c>
      <c r="H150" s="929">
        <f t="shared" ref="H150:R150" si="25">SUM(H149)</f>
        <v>0</v>
      </c>
      <c r="I150" s="930">
        <f t="shared" si="25"/>
        <v>1168181</v>
      </c>
      <c r="J150" s="930">
        <f t="shared" si="25"/>
        <v>175616</v>
      </c>
      <c r="K150" s="930">
        <f t="shared" si="25"/>
        <v>992565</v>
      </c>
      <c r="L150" s="964"/>
      <c r="M150" s="964"/>
      <c r="N150" s="964"/>
      <c r="O150" s="932">
        <f t="shared" si="25"/>
        <v>447646</v>
      </c>
      <c r="P150" s="930">
        <f t="shared" si="25"/>
        <v>0</v>
      </c>
      <c r="Q150" s="930">
        <f t="shared" si="25"/>
        <v>623262</v>
      </c>
      <c r="R150" s="928">
        <f t="shared" si="25"/>
        <v>544919</v>
      </c>
    </row>
    <row r="151" spans="1:18" ht="18" customHeight="1">
      <c r="A151" s="985"/>
      <c r="B151" s="1325"/>
      <c r="C151" s="1286" t="s">
        <v>804</v>
      </c>
      <c r="D151" s="886">
        <v>30</v>
      </c>
      <c r="E151" s="887" t="s">
        <v>977</v>
      </c>
      <c r="F151" s="886" t="s">
        <v>978</v>
      </c>
      <c r="G151" s="885">
        <v>0</v>
      </c>
      <c r="H151" s="881">
        <v>6471054</v>
      </c>
      <c r="I151" s="882">
        <v>6471054</v>
      </c>
      <c r="J151" s="882">
        <v>0</v>
      </c>
      <c r="K151" s="882">
        <v>6471054</v>
      </c>
      <c r="L151" s="883">
        <v>5</v>
      </c>
      <c r="M151" s="883">
        <v>0.45100000000000001</v>
      </c>
      <c r="N151" s="883">
        <v>4</v>
      </c>
      <c r="O151" s="884">
        <v>972815</v>
      </c>
      <c r="P151" s="882">
        <v>0</v>
      </c>
      <c r="Q151" s="882">
        <v>972815</v>
      </c>
      <c r="R151" s="885">
        <v>5498239</v>
      </c>
    </row>
    <row r="152" spans="1:18" ht="18" customHeight="1">
      <c r="A152" s="985"/>
      <c r="B152" s="1325"/>
      <c r="C152" s="1287"/>
      <c r="D152" s="886">
        <v>29</v>
      </c>
      <c r="E152" s="887" t="s">
        <v>979</v>
      </c>
      <c r="F152" s="886" t="s">
        <v>980</v>
      </c>
      <c r="G152" s="894">
        <v>0</v>
      </c>
      <c r="H152" s="895">
        <v>2060908</v>
      </c>
      <c r="I152" s="896">
        <v>2060908</v>
      </c>
      <c r="J152" s="896">
        <v>0</v>
      </c>
      <c r="K152" s="896">
        <v>2060908</v>
      </c>
      <c r="L152" s="892">
        <v>5</v>
      </c>
      <c r="M152" s="892">
        <v>0.45100000000000001</v>
      </c>
      <c r="N152" s="892">
        <v>4</v>
      </c>
      <c r="O152" s="897">
        <v>309823</v>
      </c>
      <c r="P152" s="896">
        <v>0</v>
      </c>
      <c r="Q152" s="896">
        <v>309823</v>
      </c>
      <c r="R152" s="894">
        <v>1751085</v>
      </c>
    </row>
    <row r="153" spans="1:18" ht="18" customHeight="1">
      <c r="A153" s="985"/>
      <c r="B153" s="1326"/>
      <c r="C153" s="1288"/>
      <c r="D153" s="1335" t="s">
        <v>809</v>
      </c>
      <c r="E153" s="1335"/>
      <c r="F153" s="1335"/>
      <c r="G153" s="934">
        <f>SUM(G151:G152)</f>
        <v>0</v>
      </c>
      <c r="H153" s="935">
        <f>SUM(H151:H152)</f>
        <v>8531962</v>
      </c>
      <c r="I153" s="936">
        <f t="shared" ref="I153:R153" si="26">SUM(I151:I152)</f>
        <v>8531962</v>
      </c>
      <c r="J153" s="936">
        <f t="shared" si="26"/>
        <v>0</v>
      </c>
      <c r="K153" s="936">
        <f t="shared" si="26"/>
        <v>8531962</v>
      </c>
      <c r="L153" s="991"/>
      <c r="M153" s="991"/>
      <c r="N153" s="991"/>
      <c r="O153" s="938">
        <f t="shared" si="26"/>
        <v>1282638</v>
      </c>
      <c r="P153" s="936">
        <f t="shared" si="26"/>
        <v>0</v>
      </c>
      <c r="Q153" s="936">
        <f t="shared" si="26"/>
        <v>1282638</v>
      </c>
      <c r="R153" s="934">
        <f t="shared" si="26"/>
        <v>7249324</v>
      </c>
    </row>
    <row r="154" spans="1:18" ht="18" customHeight="1">
      <c r="A154" s="985"/>
      <c r="B154" s="1264" t="s">
        <v>810</v>
      </c>
      <c r="C154" s="1264"/>
      <c r="D154" s="1264"/>
      <c r="E154" s="1264"/>
      <c r="F154" s="1265"/>
      <c r="G154" s="909">
        <f>G148+G150+G153</f>
        <v>71060110</v>
      </c>
      <c r="H154" s="910">
        <f t="shared" ref="H154:R154" si="27">H148+H150+H153</f>
        <v>8531962</v>
      </c>
      <c r="I154" s="911">
        <f t="shared" si="27"/>
        <v>79592072</v>
      </c>
      <c r="J154" s="911">
        <f t="shared" si="27"/>
        <v>70044545</v>
      </c>
      <c r="K154" s="911">
        <f t="shared" si="27"/>
        <v>9547527</v>
      </c>
      <c r="L154" s="912"/>
      <c r="M154" s="912"/>
      <c r="N154" s="912"/>
      <c r="O154" s="913">
        <f>O148+O150+O153</f>
        <v>1730284</v>
      </c>
      <c r="P154" s="911">
        <f t="shared" si="27"/>
        <v>0</v>
      </c>
      <c r="Q154" s="911">
        <f t="shared" si="27"/>
        <v>71774829</v>
      </c>
      <c r="R154" s="909">
        <f t="shared" si="27"/>
        <v>7817243</v>
      </c>
    </row>
    <row r="155" spans="1:18" ht="18" customHeight="1">
      <c r="A155" s="985"/>
      <c r="B155" s="1324" t="s">
        <v>811</v>
      </c>
      <c r="C155" s="1327" t="s">
        <v>900</v>
      </c>
      <c r="D155" s="886">
        <v>5</v>
      </c>
      <c r="E155" s="887" t="s">
        <v>981</v>
      </c>
      <c r="F155" s="886" t="s">
        <v>982</v>
      </c>
      <c r="G155" s="888">
        <v>30545454</v>
      </c>
      <c r="H155" s="889">
        <v>0</v>
      </c>
      <c r="I155" s="890">
        <v>30545454</v>
      </c>
      <c r="J155" s="890">
        <v>30544454</v>
      </c>
      <c r="K155" s="890">
        <v>1000</v>
      </c>
      <c r="L155" s="886">
        <v>5</v>
      </c>
      <c r="M155" s="886">
        <v>0.45100000000000001</v>
      </c>
      <c r="N155" s="886">
        <v>12</v>
      </c>
      <c r="O155" s="891">
        <v>0</v>
      </c>
      <c r="P155" s="890">
        <v>0</v>
      </c>
      <c r="Q155" s="890">
        <v>30544454</v>
      </c>
      <c r="R155" s="888">
        <v>1000</v>
      </c>
    </row>
    <row r="156" spans="1:18" ht="18" customHeight="1">
      <c r="A156" s="985"/>
      <c r="B156" s="1325"/>
      <c r="C156" s="1328"/>
      <c r="D156" s="886">
        <v>6</v>
      </c>
      <c r="E156" s="887" t="s">
        <v>983</v>
      </c>
      <c r="F156" s="886" t="s">
        <v>984</v>
      </c>
      <c r="G156" s="888">
        <v>1210000</v>
      </c>
      <c r="H156" s="889">
        <v>0</v>
      </c>
      <c r="I156" s="890">
        <v>1210000</v>
      </c>
      <c r="J156" s="890">
        <v>1209000</v>
      </c>
      <c r="K156" s="890">
        <v>1000</v>
      </c>
      <c r="L156" s="886">
        <v>5</v>
      </c>
      <c r="M156" s="886">
        <v>0.45100000000000001</v>
      </c>
      <c r="N156" s="886">
        <v>12</v>
      </c>
      <c r="O156" s="891">
        <v>0</v>
      </c>
      <c r="P156" s="890">
        <v>0</v>
      </c>
      <c r="Q156" s="890">
        <v>1209000</v>
      </c>
      <c r="R156" s="888">
        <v>1000</v>
      </c>
    </row>
    <row r="157" spans="1:18" ht="18" customHeight="1">
      <c r="A157" s="985"/>
      <c r="B157" s="1325"/>
      <c r="C157" s="1328"/>
      <c r="D157" s="886">
        <v>7</v>
      </c>
      <c r="E157" s="887" t="s">
        <v>985</v>
      </c>
      <c r="F157" s="886" t="s">
        <v>986</v>
      </c>
      <c r="G157" s="888">
        <v>15454545</v>
      </c>
      <c r="H157" s="889">
        <v>0</v>
      </c>
      <c r="I157" s="890">
        <v>15454545</v>
      </c>
      <c r="J157" s="890">
        <v>15453545</v>
      </c>
      <c r="K157" s="890">
        <v>1000</v>
      </c>
      <c r="L157" s="886">
        <v>5</v>
      </c>
      <c r="M157" s="886">
        <v>0.45100000000000001</v>
      </c>
      <c r="N157" s="886">
        <v>12</v>
      </c>
      <c r="O157" s="891">
        <v>0</v>
      </c>
      <c r="P157" s="890">
        <v>0</v>
      </c>
      <c r="Q157" s="890">
        <v>15453545</v>
      </c>
      <c r="R157" s="888">
        <v>1000</v>
      </c>
    </row>
    <row r="158" spans="1:18" ht="18" customHeight="1">
      <c r="A158" s="985"/>
      <c r="B158" s="1326"/>
      <c r="C158" s="1329"/>
      <c r="D158" s="1334" t="s">
        <v>907</v>
      </c>
      <c r="E158" s="1334"/>
      <c r="F158" s="1334"/>
      <c r="G158" s="966">
        <f>SUM(G155:G157)</f>
        <v>47209999</v>
      </c>
      <c r="H158" s="967">
        <f t="shared" ref="H158:R158" si="28">SUM(H155:H157)</f>
        <v>0</v>
      </c>
      <c r="I158" s="968">
        <f t="shared" si="28"/>
        <v>47209999</v>
      </c>
      <c r="J158" s="968">
        <f t="shared" si="28"/>
        <v>47206999</v>
      </c>
      <c r="K158" s="968">
        <f t="shared" si="28"/>
        <v>3000</v>
      </c>
      <c r="L158" s="969"/>
      <c r="M158" s="969"/>
      <c r="N158" s="969"/>
      <c r="O158" s="970">
        <f t="shared" si="28"/>
        <v>0</v>
      </c>
      <c r="P158" s="968">
        <f t="shared" si="28"/>
        <v>0</v>
      </c>
      <c r="Q158" s="968">
        <f t="shared" si="28"/>
        <v>47206999</v>
      </c>
      <c r="R158" s="966">
        <f t="shared" si="28"/>
        <v>3000</v>
      </c>
    </row>
    <row r="159" spans="1:18" ht="18" customHeight="1">
      <c r="A159" s="985"/>
      <c r="B159" s="1264" t="s">
        <v>838</v>
      </c>
      <c r="C159" s="1264"/>
      <c r="D159" s="1264"/>
      <c r="E159" s="1264" t="s">
        <v>839</v>
      </c>
      <c r="F159" s="1265"/>
      <c r="G159" s="909">
        <f>G158</f>
        <v>47209999</v>
      </c>
      <c r="H159" s="910">
        <f t="shared" ref="H159:R159" si="29">H158</f>
        <v>0</v>
      </c>
      <c r="I159" s="911">
        <f t="shared" si="29"/>
        <v>47209999</v>
      </c>
      <c r="J159" s="911">
        <f t="shared" si="29"/>
        <v>47206999</v>
      </c>
      <c r="K159" s="911">
        <f t="shared" si="29"/>
        <v>3000</v>
      </c>
      <c r="L159" s="912"/>
      <c r="M159" s="912"/>
      <c r="N159" s="912"/>
      <c r="O159" s="913">
        <f t="shared" si="29"/>
        <v>0</v>
      </c>
      <c r="P159" s="911">
        <f t="shared" si="29"/>
        <v>0</v>
      </c>
      <c r="Q159" s="911">
        <f t="shared" si="29"/>
        <v>47206999</v>
      </c>
      <c r="R159" s="909">
        <f t="shared" si="29"/>
        <v>3000</v>
      </c>
    </row>
    <row r="160" spans="1:18" ht="18" customHeight="1" thickBot="1">
      <c r="A160" s="985"/>
      <c r="B160" s="1330" t="s">
        <v>871</v>
      </c>
      <c r="C160" s="1331"/>
      <c r="D160" s="1331"/>
      <c r="E160" s="1332"/>
      <c r="F160" s="1333"/>
      <c r="G160" s="992">
        <f>G117+G124+G154+G159</f>
        <v>272180276</v>
      </c>
      <c r="H160" s="993">
        <f t="shared" ref="H160:K160" si="30">H117+H124+H154+H159</f>
        <v>8531962</v>
      </c>
      <c r="I160" s="994">
        <f t="shared" si="30"/>
        <v>280712238</v>
      </c>
      <c r="J160" s="994">
        <f t="shared" si="30"/>
        <v>227937394</v>
      </c>
      <c r="K160" s="994">
        <f t="shared" si="30"/>
        <v>87601044</v>
      </c>
      <c r="L160" s="995"/>
      <c r="M160" s="995"/>
      <c r="N160" s="995"/>
      <c r="O160" s="996">
        <f t="shared" ref="O160:R160" si="31">O117+O124+O154+O159</f>
        <v>22959378</v>
      </c>
      <c r="P160" s="994">
        <f t="shared" si="31"/>
        <v>0</v>
      </c>
      <c r="Q160" s="994">
        <f t="shared" si="31"/>
        <v>250896772</v>
      </c>
      <c r="R160" s="992">
        <f t="shared" si="31"/>
        <v>29815466</v>
      </c>
    </row>
    <row r="161" spans="1:18" ht="18" customHeight="1">
      <c r="A161" s="1339" t="s">
        <v>872</v>
      </c>
      <c r="B161" s="1342" t="s">
        <v>899</v>
      </c>
      <c r="C161" s="1345" t="s">
        <v>900</v>
      </c>
      <c r="D161" s="878">
        <v>1</v>
      </c>
      <c r="E161" s="879" t="s">
        <v>987</v>
      </c>
      <c r="F161" s="878" t="s">
        <v>988</v>
      </c>
      <c r="G161" s="880">
        <v>1000</v>
      </c>
      <c r="H161" s="997">
        <v>0</v>
      </c>
      <c r="I161" s="998">
        <v>1000</v>
      </c>
      <c r="J161" s="998">
        <v>2389000</v>
      </c>
      <c r="K161" s="998">
        <v>2390000</v>
      </c>
      <c r="L161" s="878">
        <v>5</v>
      </c>
      <c r="M161" s="878">
        <v>0.2</v>
      </c>
      <c r="N161" s="878">
        <v>12</v>
      </c>
      <c r="O161" s="999">
        <v>0</v>
      </c>
      <c r="P161" s="998">
        <v>0</v>
      </c>
      <c r="Q161" s="998">
        <v>0</v>
      </c>
      <c r="R161" s="880">
        <v>1000</v>
      </c>
    </row>
    <row r="162" spans="1:18" ht="18" customHeight="1">
      <c r="A162" s="1340"/>
      <c r="B162" s="1343"/>
      <c r="C162" s="1309"/>
      <c r="D162" s="886">
        <v>2</v>
      </c>
      <c r="E162" s="887" t="s">
        <v>989</v>
      </c>
      <c r="F162" s="886" t="s">
        <v>988</v>
      </c>
      <c r="G162" s="888">
        <v>1000</v>
      </c>
      <c r="H162" s="889">
        <v>0</v>
      </c>
      <c r="I162" s="890">
        <v>1000</v>
      </c>
      <c r="J162" s="890">
        <v>2039000</v>
      </c>
      <c r="K162" s="890">
        <v>2040000</v>
      </c>
      <c r="L162" s="886">
        <v>5</v>
      </c>
      <c r="M162" s="886">
        <v>0.2</v>
      </c>
      <c r="N162" s="886">
        <v>12</v>
      </c>
      <c r="O162" s="891">
        <v>0</v>
      </c>
      <c r="P162" s="890">
        <v>0</v>
      </c>
      <c r="Q162" s="890">
        <v>0</v>
      </c>
      <c r="R162" s="888">
        <v>1000</v>
      </c>
    </row>
    <row r="163" spans="1:18" ht="18" customHeight="1">
      <c r="A163" s="1340"/>
      <c r="B163" s="1343"/>
      <c r="C163" s="1309"/>
      <c r="D163" s="886">
        <v>3</v>
      </c>
      <c r="E163" s="887" t="s">
        <v>990</v>
      </c>
      <c r="F163" s="886" t="s">
        <v>991</v>
      </c>
      <c r="G163" s="888">
        <v>1000</v>
      </c>
      <c r="H163" s="889">
        <v>0</v>
      </c>
      <c r="I163" s="890">
        <v>1000</v>
      </c>
      <c r="J163" s="890">
        <v>1199000</v>
      </c>
      <c r="K163" s="890">
        <v>1200000</v>
      </c>
      <c r="L163" s="886">
        <v>5</v>
      </c>
      <c r="M163" s="886">
        <v>0.2</v>
      </c>
      <c r="N163" s="886">
        <v>12</v>
      </c>
      <c r="O163" s="891">
        <v>0</v>
      </c>
      <c r="P163" s="890">
        <v>0</v>
      </c>
      <c r="Q163" s="890">
        <v>0</v>
      </c>
      <c r="R163" s="888">
        <v>1000</v>
      </c>
    </row>
    <row r="164" spans="1:18" ht="18" customHeight="1">
      <c r="A164" s="1340"/>
      <c r="B164" s="1344"/>
      <c r="C164" s="1346"/>
      <c r="D164" s="1311" t="s">
        <v>907</v>
      </c>
      <c r="E164" s="1312"/>
      <c r="F164" s="1313"/>
      <c r="G164" s="966">
        <f>SUM(G161:G163)</f>
        <v>3000</v>
      </c>
      <c r="H164" s="967">
        <f t="shared" ref="H164:R164" si="32">SUM(H161:H163)</f>
        <v>0</v>
      </c>
      <c r="I164" s="968">
        <f t="shared" si="32"/>
        <v>3000</v>
      </c>
      <c r="J164" s="968">
        <f t="shared" si="32"/>
        <v>5627000</v>
      </c>
      <c r="K164" s="968">
        <f t="shared" si="32"/>
        <v>5630000</v>
      </c>
      <c r="L164" s="969"/>
      <c r="M164" s="969"/>
      <c r="N164" s="969"/>
      <c r="O164" s="970">
        <f t="shared" si="32"/>
        <v>0</v>
      </c>
      <c r="P164" s="968">
        <f t="shared" si="32"/>
        <v>0</v>
      </c>
      <c r="Q164" s="968">
        <f t="shared" si="32"/>
        <v>0</v>
      </c>
      <c r="R164" s="966">
        <f t="shared" si="32"/>
        <v>3000</v>
      </c>
    </row>
    <row r="165" spans="1:18" ht="18" customHeight="1">
      <c r="A165" s="1340"/>
      <c r="B165" s="1264" t="s">
        <v>908</v>
      </c>
      <c r="C165" s="1264"/>
      <c r="D165" s="1264"/>
      <c r="E165" s="1264"/>
      <c r="F165" s="1265"/>
      <c r="G165" s="909">
        <f>G164</f>
        <v>3000</v>
      </c>
      <c r="H165" s="910">
        <f t="shared" ref="H165:R166" si="33">H164</f>
        <v>0</v>
      </c>
      <c r="I165" s="911">
        <f t="shared" si="33"/>
        <v>3000</v>
      </c>
      <c r="J165" s="911">
        <f t="shared" si="33"/>
        <v>5627000</v>
      </c>
      <c r="K165" s="911">
        <f t="shared" si="33"/>
        <v>5630000</v>
      </c>
      <c r="L165" s="912"/>
      <c r="M165" s="912"/>
      <c r="N165" s="912"/>
      <c r="O165" s="913">
        <f t="shared" si="33"/>
        <v>0</v>
      </c>
      <c r="P165" s="911">
        <f t="shared" si="33"/>
        <v>0</v>
      </c>
      <c r="Q165" s="911">
        <f t="shared" si="33"/>
        <v>0</v>
      </c>
      <c r="R165" s="909">
        <f t="shared" si="33"/>
        <v>3000</v>
      </c>
    </row>
    <row r="166" spans="1:18" ht="18" customHeight="1" thickBot="1">
      <c r="A166" s="1341"/>
      <c r="B166" s="1347" t="s">
        <v>915</v>
      </c>
      <c r="C166" s="1318"/>
      <c r="D166" s="1318"/>
      <c r="E166" s="1319"/>
      <c r="F166" s="1320"/>
      <c r="G166" s="958">
        <f>G165</f>
        <v>3000</v>
      </c>
      <c r="H166" s="959">
        <f t="shared" si="33"/>
        <v>0</v>
      </c>
      <c r="I166" s="960">
        <f t="shared" si="33"/>
        <v>3000</v>
      </c>
      <c r="J166" s="960">
        <f t="shared" si="33"/>
        <v>5627000</v>
      </c>
      <c r="K166" s="960">
        <f t="shared" si="33"/>
        <v>5630000</v>
      </c>
      <c r="L166" s="961"/>
      <c r="M166" s="961"/>
      <c r="N166" s="961"/>
      <c r="O166" s="1000">
        <f t="shared" si="33"/>
        <v>0</v>
      </c>
      <c r="P166" s="960">
        <f t="shared" si="33"/>
        <v>0</v>
      </c>
      <c r="Q166" s="960">
        <f t="shared" si="33"/>
        <v>0</v>
      </c>
      <c r="R166" s="958">
        <f t="shared" si="33"/>
        <v>3000</v>
      </c>
    </row>
    <row r="167" spans="1:18" ht="18" customHeight="1" thickBot="1">
      <c r="A167" s="1336" t="s">
        <v>916</v>
      </c>
      <c r="B167" s="1337"/>
      <c r="C167" s="1337"/>
      <c r="D167" s="1337"/>
      <c r="E167" s="1337"/>
      <c r="F167" s="1338"/>
      <c r="G167" s="1001">
        <f>G160+G166</f>
        <v>272183276</v>
      </c>
      <c r="H167" s="973">
        <f t="shared" ref="H167:R167" si="34">H160+H166</f>
        <v>8531962</v>
      </c>
      <c r="I167" s="973">
        <f t="shared" si="34"/>
        <v>280715238</v>
      </c>
      <c r="J167" s="973">
        <f t="shared" si="34"/>
        <v>233564394</v>
      </c>
      <c r="K167" s="973">
        <f t="shared" si="34"/>
        <v>93231044</v>
      </c>
      <c r="L167" s="974"/>
      <c r="M167" s="974"/>
      <c r="N167" s="1002"/>
      <c r="O167" s="1003">
        <f>O160+O166</f>
        <v>22959378</v>
      </c>
      <c r="P167" s="973">
        <f t="shared" si="34"/>
        <v>0</v>
      </c>
      <c r="Q167" s="977">
        <f t="shared" si="34"/>
        <v>250896772</v>
      </c>
      <c r="R167" s="972">
        <f t="shared" si="34"/>
        <v>29818466</v>
      </c>
    </row>
    <row r="168" spans="1:18" ht="18" customHeight="1" thickBot="1">
      <c r="A168" s="1336" t="s">
        <v>992</v>
      </c>
      <c r="B168" s="1337"/>
      <c r="C168" s="1337"/>
      <c r="D168" s="1337"/>
      <c r="E168" s="1337"/>
      <c r="F168" s="1338"/>
      <c r="G168" s="1001">
        <f>G111+G167</f>
        <v>1510269047</v>
      </c>
      <c r="H168" s="973">
        <f>H111+H167</f>
        <v>59189567</v>
      </c>
      <c r="I168" s="973">
        <f>I111+I167</f>
        <v>1569458614</v>
      </c>
      <c r="J168" s="973">
        <f>J111+J167</f>
        <v>968865566</v>
      </c>
      <c r="K168" s="973">
        <f>K111+K167</f>
        <v>662456352</v>
      </c>
      <c r="L168" s="974"/>
      <c r="M168" s="974"/>
      <c r="N168" s="1002"/>
      <c r="O168" s="1003">
        <f>O111+O167</f>
        <v>271421712</v>
      </c>
      <c r="P168" s="973">
        <f>P111+P167</f>
        <v>0</v>
      </c>
      <c r="Q168" s="977">
        <f>Q111+Q167</f>
        <v>1226768726</v>
      </c>
      <c r="R168" s="972">
        <f>R111+R167</f>
        <v>342689888</v>
      </c>
    </row>
    <row r="169" spans="1:18" ht="18" customHeight="1"/>
    <row r="170" spans="1:18" ht="18" customHeight="1"/>
  </sheetData>
  <mergeCells count="78">
    <mergeCell ref="A167:F167"/>
    <mergeCell ref="A168:F168"/>
    <mergeCell ref="A161:A166"/>
    <mergeCell ref="B161:B164"/>
    <mergeCell ref="C161:C164"/>
    <mergeCell ref="D164:F164"/>
    <mergeCell ref="B165:F165"/>
    <mergeCell ref="B166:F166"/>
    <mergeCell ref="B160:F160"/>
    <mergeCell ref="B124:F124"/>
    <mergeCell ref="B125:B153"/>
    <mergeCell ref="C125:C148"/>
    <mergeCell ref="D148:F148"/>
    <mergeCell ref="C149:C150"/>
    <mergeCell ref="D150:F150"/>
    <mergeCell ref="C151:C153"/>
    <mergeCell ref="D153:F153"/>
    <mergeCell ref="B154:F154"/>
    <mergeCell ref="B155:B158"/>
    <mergeCell ref="C155:C158"/>
    <mergeCell ref="D158:F158"/>
    <mergeCell ref="B159:F159"/>
    <mergeCell ref="B109:F109"/>
    <mergeCell ref="B110:F110"/>
    <mergeCell ref="A111:F111"/>
    <mergeCell ref="B117:F117"/>
    <mergeCell ref="B118:B123"/>
    <mergeCell ref="C118:C120"/>
    <mergeCell ref="D120:F120"/>
    <mergeCell ref="C121:C123"/>
    <mergeCell ref="D123:F123"/>
    <mergeCell ref="B83:F83"/>
    <mergeCell ref="B84:F84"/>
    <mergeCell ref="A85:A110"/>
    <mergeCell ref="B85:B99"/>
    <mergeCell ref="C85:C87"/>
    <mergeCell ref="D87:F87"/>
    <mergeCell ref="C88:C99"/>
    <mergeCell ref="D99:F99"/>
    <mergeCell ref="B100:F100"/>
    <mergeCell ref="B101:B104"/>
    <mergeCell ref="C101:C104"/>
    <mergeCell ref="D104:F104"/>
    <mergeCell ref="B105:F105"/>
    <mergeCell ref="B106:B108"/>
    <mergeCell ref="C106:C108"/>
    <mergeCell ref="D108:F108"/>
    <mergeCell ref="B62:F62"/>
    <mergeCell ref="B63:B82"/>
    <mergeCell ref="C63:C66"/>
    <mergeCell ref="D66:F66"/>
    <mergeCell ref="C67:C73"/>
    <mergeCell ref="D73:F73"/>
    <mergeCell ref="C74:C82"/>
    <mergeCell ref="D82:F82"/>
    <mergeCell ref="B43:B61"/>
    <mergeCell ref="C43:C56"/>
    <mergeCell ref="D56:F56"/>
    <mergeCell ref="C57:C58"/>
    <mergeCell ref="D58:F58"/>
    <mergeCell ref="C59:C61"/>
    <mergeCell ref="D61:F61"/>
    <mergeCell ref="B42:F42"/>
    <mergeCell ref="A3:A84"/>
    <mergeCell ref="B3:B18"/>
    <mergeCell ref="C3:C11"/>
    <mergeCell ref="D11:F11"/>
    <mergeCell ref="C12:C18"/>
    <mergeCell ref="D18:F18"/>
    <mergeCell ref="B19:F19"/>
    <mergeCell ref="B21:F21"/>
    <mergeCell ref="B22:B41"/>
    <mergeCell ref="C23:C32"/>
    <mergeCell ref="D32:F32"/>
    <mergeCell ref="C33:C38"/>
    <mergeCell ref="D38:F38"/>
    <mergeCell ref="C39:C41"/>
    <mergeCell ref="D41:F4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26년 5월</vt:lpstr>
      <vt:lpstr>주요비율산정표(%)</vt:lpstr>
      <vt:lpstr>26년 3월(결산용)</vt:lpstr>
      <vt:lpstr>선급금(daily)</vt:lpstr>
      <vt:lpstr>월별원가(류)5월</vt:lpstr>
      <vt:lpstr>가운출고량(류)5월</vt:lpstr>
      <vt:lpstr>감가요약(25.12.31)</vt:lpstr>
      <vt:lpstr>감가상각 상세(25.12.31)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혜영 박</dc:creator>
  <cp:lastModifiedBy>suzieh0518@gmail.com</cp:lastModifiedBy>
  <dcterms:created xsi:type="dcterms:W3CDTF">2026-03-19T07:05:38Z</dcterms:created>
  <dcterms:modified xsi:type="dcterms:W3CDTF">2026-07-03T07:55:35Z</dcterms:modified>
</cp:coreProperties>
</file>